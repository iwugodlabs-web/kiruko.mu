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document x\wages\"/>
    </mc:Choice>
  </mc:AlternateContent>
  <xr:revisionPtr revIDLastSave="0" documentId="8_{9F1BEE75-D075-41DE-8109-BAC2538618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move the square bracket and i" sheetId="1" r:id="rId1"/>
  </sheets>
  <definedNames>
    <definedName name="_xlnm._FilterDatabase" localSheetId="0" hidden="1">'remove the square bracket and i'!$A$1:$A$206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1" l="1"/>
  <c r="F100" i="1"/>
  <c r="F8" i="1"/>
  <c r="F4" i="1"/>
  <c r="F16" i="1"/>
  <c r="F15" i="1"/>
  <c r="F14" i="1"/>
  <c r="E6" i="1"/>
  <c r="F202" i="1"/>
  <c r="F24" i="1"/>
  <c r="F72" i="1"/>
  <c r="F2" i="1"/>
  <c r="F204" i="1"/>
  <c r="F203" i="1"/>
  <c r="F178" i="1"/>
  <c r="F86" i="1"/>
  <c r="F81" i="1"/>
  <c r="F156" i="1"/>
  <c r="F3" i="1"/>
  <c r="F153" i="1"/>
  <c r="F205" i="1"/>
  <c r="F146" i="1"/>
  <c r="F122" i="1"/>
  <c r="F101" i="1"/>
  <c r="F91" i="1"/>
  <c r="F173" i="1"/>
  <c r="F154" i="1"/>
  <c r="F73" i="1"/>
  <c r="F102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6" i="1"/>
  <c r="F127" i="1"/>
  <c r="F128" i="1"/>
  <c r="F129" i="1"/>
  <c r="F130" i="1"/>
  <c r="F121" i="1"/>
  <c r="F131" i="1"/>
  <c r="F132" i="1"/>
  <c r="F125" i="1"/>
  <c r="F133" i="1"/>
  <c r="F134" i="1"/>
  <c r="F135" i="1"/>
  <c r="F145" i="1"/>
  <c r="F136" i="1"/>
  <c r="F137" i="1"/>
  <c r="F138" i="1"/>
  <c r="F139" i="1"/>
  <c r="F140" i="1"/>
  <c r="F141" i="1"/>
  <c r="F142" i="1"/>
  <c r="F143" i="1"/>
  <c r="F144" i="1"/>
  <c r="F87" i="1"/>
  <c r="F92" i="1"/>
  <c r="F93" i="1"/>
  <c r="F94" i="1"/>
  <c r="F88" i="1"/>
  <c r="F89" i="1"/>
  <c r="F90" i="1"/>
  <c r="F95" i="1"/>
  <c r="F96" i="1"/>
  <c r="F97" i="1"/>
  <c r="F98" i="1"/>
  <c r="F99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157" i="1"/>
  <c r="F82" i="1"/>
  <c r="F158" i="1"/>
  <c r="F159" i="1"/>
  <c r="F160" i="1"/>
  <c r="F161" i="1"/>
  <c r="F162" i="1"/>
  <c r="F163" i="1"/>
  <c r="F179" i="1"/>
  <c r="F180" i="1"/>
  <c r="F181" i="1"/>
  <c r="F182" i="1"/>
  <c r="F183" i="1"/>
  <c r="F9" i="1"/>
  <c r="F10" i="1"/>
  <c r="F11" i="1"/>
  <c r="F74" i="1"/>
  <c r="F83" i="1"/>
  <c r="F84" i="1"/>
  <c r="F85" i="1"/>
  <c r="F75" i="1"/>
  <c r="F76" i="1"/>
  <c r="F77" i="1"/>
  <c r="F78" i="1"/>
  <c r="F79" i="1"/>
  <c r="F171" i="1"/>
  <c r="F80" i="1"/>
  <c r="F170" i="1"/>
  <c r="F103" i="1"/>
  <c r="F106" i="1"/>
  <c r="F104" i="1"/>
  <c r="F105" i="1"/>
  <c r="F185" i="1"/>
  <c r="F175" i="1"/>
  <c r="F172" i="1"/>
  <c r="F176" i="1"/>
  <c r="F177" i="1"/>
  <c r="F168" i="1"/>
  <c r="F169" i="1"/>
  <c r="F123" i="1"/>
  <c r="F149" i="1"/>
  <c r="F155" i="1"/>
  <c r="F164" i="1"/>
  <c r="F165" i="1"/>
  <c r="F166" i="1"/>
  <c r="F167" i="1"/>
  <c r="F201" i="1"/>
  <c r="F174" i="1"/>
  <c r="F184" i="1"/>
</calcChain>
</file>

<file path=xl/sharedStrings.xml><?xml version="1.0" encoding="utf-8"?>
<sst xmlns="http://schemas.openxmlformats.org/spreadsheetml/2006/main" count="1026" uniqueCount="255">
  <si>
    <t>Sector</t>
  </si>
  <si>
    <t>Category of Employee</t>
  </si>
  <si>
    <t>Grade / Service Details</t>
  </si>
  <si>
    <t>Year of Service</t>
  </si>
  <si>
    <t>Special Education Needs Institutions (SENS)</t>
  </si>
  <si>
    <t>Teacher</t>
  </si>
  <si>
    <t>-</t>
  </si>
  <si>
    <t>10th year &amp; thereafter</t>
  </si>
  <si>
    <t>Teacher Assistant, Clerk</t>
  </si>
  <si>
    <t>Carer, Driver</t>
  </si>
  <si>
    <t>Caretaker</t>
  </si>
  <si>
    <t>Private Secondary Schools</t>
  </si>
  <si>
    <t>Principal</t>
  </si>
  <si>
    <t>1st year &amp; thereafter</t>
  </si>
  <si>
    <t>Teachers, other than instructors</t>
  </si>
  <si>
    <t>Graduate</t>
  </si>
  <si>
    <t>Non-Graduate grade I, II, III</t>
  </si>
  <si>
    <t>Private Hospitals and Other Related Health Services (Part I)</t>
  </si>
  <si>
    <t>Charge Nurse / Ward Sister</t>
  </si>
  <si>
    <t>Medical Laboratory Technician, Radiographer, Nurse, Dispenser</t>
  </si>
  <si>
    <t>Grades and Sectors not covered by Remuneration Regulations</t>
  </si>
  <si>
    <t>Occupation requiring a degree</t>
  </si>
  <si>
    <t>Basic salary</t>
  </si>
  <si>
    <t>Occupation requiring a diploma</t>
  </si>
  <si>
    <t>Printing Industry</t>
  </si>
  <si>
    <t>Supervisor</t>
  </si>
  <si>
    <t>Assistant Supervisor</t>
  </si>
  <si>
    <t>Machine operator/Operator</t>
  </si>
  <si>
    <t>Quality controller/Checker</t>
  </si>
  <si>
    <t>Archivist</t>
  </si>
  <si>
    <t>Sugar Industry (Non-Agricultural Workers) (Chief Grade)</t>
  </si>
  <si>
    <t>Motor Mechanic (Heavy Mechanical Unit)</t>
  </si>
  <si>
    <t>Chief</t>
  </si>
  <si>
    <t>Motor Mechanic (automobile), Pan Boiler, Electrician</t>
  </si>
  <si>
    <t>Catering and Tourism Industries</t>
  </si>
  <si>
    <t>Restaurant Supervisor</t>
  </si>
  <si>
    <t>Senior Accounts Clerk</t>
  </si>
  <si>
    <t>4th year &amp; thereafter</t>
  </si>
  <si>
    <t>Attorneys' and Notaries'</t>
  </si>
  <si>
    <t>Clerk</t>
  </si>
  <si>
    <t>20th year &amp; thereafter</t>
  </si>
  <si>
    <t>Sugar Industry (Non-Agricultural Workers) (Highest Monthly Wage)</t>
  </si>
  <si>
    <t>Blacksmith, Coppersmith, Fitter, Moulder, etc.</t>
  </si>
  <si>
    <t>Painter, Tinsmith, Carpenter, Mason, Rigger, Laboratory Attendant</t>
  </si>
  <si>
    <t>Road Haulage Industry</t>
  </si>
  <si>
    <t>Tanker Driver</t>
  </si>
  <si>
    <t>8th year &amp; thereafter</t>
  </si>
  <si>
    <t>Cleaning Enterprises</t>
  </si>
  <si>
    <t>8th year and thereafter</t>
  </si>
  <si>
    <t>Banks Fishermen and Frigo-workers</t>
  </si>
  <si>
    <t>Banks Fisherman</t>
  </si>
  <si>
    <t>Up to 125 kg (Rate per kg)</t>
  </si>
  <si>
    <t>Above 125 kg (Rate per kg)</t>
  </si>
  <si>
    <t>Frigo-worker</t>
  </si>
  <si>
    <t>Rate per day</t>
  </si>
  <si>
    <t>Baking Industry</t>
  </si>
  <si>
    <t>Bakery Operator (Semi-Automated)</t>
  </si>
  <si>
    <t>6-day week</t>
  </si>
  <si>
    <t>Coupeur (Mechanised Bakery)</t>
  </si>
  <si>
    <t>Daily basic wages for first 13 bags</t>
  </si>
  <si>
    <t>Projectionist (Cinema)</t>
  </si>
  <si>
    <t>Basic wages for up to 28 shows per month</t>
  </si>
  <si>
    <t>Domestic Workers</t>
  </si>
  <si>
    <t>Driver</t>
  </si>
  <si>
    <t>Hourly rate</t>
  </si>
  <si>
    <t>90.61 Rs (Hourly)</t>
  </si>
  <si>
    <t>Layout Artist</t>
  </si>
  <si>
    <t>Secretary</t>
  </si>
  <si>
    <t>15th year &amp; thereafter</t>
  </si>
  <si>
    <t>Pre-Primary School Employees</t>
  </si>
  <si>
    <t>Teacher Supervisor</t>
  </si>
  <si>
    <t>Tea Industry Workers (As from 01 July 2025)</t>
  </si>
  <si>
    <t>Factory Supervisor</t>
  </si>
  <si>
    <t>Livestock Workers</t>
  </si>
  <si>
    <t>5th year &amp; thereafter</t>
  </si>
  <si>
    <t>Field-crop and Orchard Workers</t>
  </si>
  <si>
    <t>Surveillant</t>
  </si>
  <si>
    <t>Gardener</t>
  </si>
  <si>
    <t>87.69 Rs (Hourly)</t>
  </si>
  <si>
    <t>Non-Graduate grade IV</t>
  </si>
  <si>
    <t>Other employees (Caretaker, Cleaner, Gardener)</t>
  </si>
  <si>
    <t>Cinema Employees</t>
  </si>
  <si>
    <t>Cleaner</t>
  </si>
  <si>
    <t>Household employee</t>
  </si>
  <si>
    <t>Sugar Industry (Agricultural Workers)</t>
  </si>
  <si>
    <t>Field Employee</t>
  </si>
  <si>
    <t>Male (other than special category)</t>
  </si>
  <si>
    <t>Daily: 838.86 (Intercrop), 709.80 (Crop)</t>
  </si>
  <si>
    <t>Female (other than special category)</t>
  </si>
  <si>
    <t>Daily: 755.81 (Intercrop), 639.54 (Crop)</t>
  </si>
  <si>
    <t>Male (special category)</t>
  </si>
  <si>
    <t>Daily: 750.00 (Intercrop), 634.62 (Crop)</t>
  </si>
  <si>
    <t>Female (special category)</t>
  </si>
  <si>
    <t>Night Soil Employee</t>
  </si>
  <si>
    <t>Daily: 838.33 (Intercrop), 709.35 (Crop)</t>
  </si>
  <si>
    <t>Chief Watchperson</t>
  </si>
  <si>
    <t>Daily: 867.95 (Intercrop), 734.42 (Crop)</t>
  </si>
  <si>
    <t>Watchperson</t>
  </si>
  <si>
    <t>Grade 1</t>
  </si>
  <si>
    <t>Daily: 849.72 (Intercrop), 719.00 (Crop)</t>
  </si>
  <si>
    <t>Grade II</t>
  </si>
  <si>
    <t>Hospital Servant</t>
  </si>
  <si>
    <t>Daily: 852.97 (Intercrop), 721.75 (Crop)</t>
  </si>
  <si>
    <t>Overseer</t>
  </si>
  <si>
    <t>Grade I</t>
  </si>
  <si>
    <t>Daily: 934.92 (Intercrop), 791.08 (Crop)</t>
  </si>
  <si>
    <t>Platelayer</t>
  </si>
  <si>
    <t>Marqueur</t>
  </si>
  <si>
    <t>Daily: 890.41 (Intercrop), 753.42 (Crop)</t>
  </si>
  <si>
    <t>Loco-stoker</t>
  </si>
  <si>
    <t>Electrical, Engineering and Mechanical Workshops</t>
  </si>
  <si>
    <t>Accounts Clerk, Storekeeper</t>
  </si>
  <si>
    <t>7th year &amp; thereafter</t>
  </si>
  <si>
    <t>Receptionist/Telephonist</t>
  </si>
  <si>
    <t>Electrician, Motor Mechanic</t>
  </si>
  <si>
    <t>Superior grade</t>
  </si>
  <si>
    <t>3rd year &amp; thereafter</t>
  </si>
  <si>
    <t>Automobile Electrician, Blacksmith, Fitter, etc.</t>
  </si>
  <si>
    <t>6th year</t>
  </si>
  <si>
    <t>Grade III</t>
  </si>
  <si>
    <t>4th year</t>
  </si>
  <si>
    <t>Carpenter, Electrician, Painter</t>
  </si>
  <si>
    <t>Upholsterer</t>
  </si>
  <si>
    <t>Tyreperson</t>
  </si>
  <si>
    <t>Tyreperson Assistant</t>
  </si>
  <si>
    <t>Apprentice</t>
  </si>
  <si>
    <t>1st year</t>
  </si>
  <si>
    <t>Factory Employees (Part I)</t>
  </si>
  <si>
    <t>Chief clerk</t>
  </si>
  <si>
    <t>Accounts Clerk, Cashier, Storekeeper</t>
  </si>
  <si>
    <t>Clerk, Assistant Storekeeper</t>
  </si>
  <si>
    <t>Word Processing Operator</t>
  </si>
  <si>
    <t>Telephonist, Receptionist</t>
  </si>
  <si>
    <t>Foreman, Forewoman</t>
  </si>
  <si>
    <t>Factory Employees (Part II)</t>
  </si>
  <si>
    <t>Factory Operator</t>
  </si>
  <si>
    <t>Factory Attendant</t>
  </si>
  <si>
    <t>Assistant Factory Employee</t>
  </si>
  <si>
    <t>Light Metal and Wooden Furniture Workshops (Part I)</t>
  </si>
  <si>
    <t>Administrative staff (Accounts Clerk, Cashier, Storekeeper)</t>
  </si>
  <si>
    <t>Light Metal and Wooden Furniture Workshops (Part II - Skilled Employees)</t>
  </si>
  <si>
    <t>Cabinet Maker</t>
  </si>
  <si>
    <t>Superior Grade</t>
  </si>
  <si>
    <t>Blacksmith, Cabinet Maker, Electrician, Fitter, etc.</t>
  </si>
  <si>
    <t>Others</t>
  </si>
  <si>
    <t>Lorry helper</t>
  </si>
  <si>
    <t>Attendant</t>
  </si>
  <si>
    <t>Accounts Clerk</t>
  </si>
  <si>
    <t>8th year</t>
  </si>
  <si>
    <t>Store Clerk</t>
  </si>
  <si>
    <t>Refuse Collector</t>
  </si>
  <si>
    <t>Lavatory Attendant</t>
  </si>
  <si>
    <t>Helper</t>
  </si>
  <si>
    <t>Vehicle Attendant</t>
  </si>
  <si>
    <t>Assistant Head Cook, Assistant Head Pastry Cook</t>
  </si>
  <si>
    <t>Cook, Pastry Cook</t>
  </si>
  <si>
    <t>Assistant Cook, Assistant Pastry Cook</t>
  </si>
  <si>
    <t>Fast Food Operative</t>
  </si>
  <si>
    <t>Head Waiter</t>
  </si>
  <si>
    <t>Assistant Head Waiter</t>
  </si>
  <si>
    <t>Waiter, Beach Waiter, Loader, Tea Maker</t>
  </si>
  <si>
    <t>Head Bartender</t>
  </si>
  <si>
    <t>Bartender</t>
  </si>
  <si>
    <t>Assistant Bartender</t>
  </si>
  <si>
    <t>Assistant Restaurant Supervisor</t>
  </si>
  <si>
    <t>Kitchen Cost Controller</t>
  </si>
  <si>
    <t>Cashier</t>
  </si>
  <si>
    <t>Cafetier</t>
  </si>
  <si>
    <t>Assistant Cafetier</t>
  </si>
  <si>
    <t>Storekeeper</t>
  </si>
  <si>
    <t>Assistant Storekeeper</t>
  </si>
  <si>
    <t>Store Attendant</t>
  </si>
  <si>
    <t>Caviste</t>
  </si>
  <si>
    <t>Receptionist</t>
  </si>
  <si>
    <t>Assistant Receptionist</t>
  </si>
  <si>
    <t>Personnel Clerk, Room Service Clerk</t>
  </si>
  <si>
    <t>Telephonist</t>
  </si>
  <si>
    <t>Porter Operator</t>
  </si>
  <si>
    <t>Housekeeper</t>
  </si>
  <si>
    <t>Assistant Housekeeper</t>
  </si>
  <si>
    <t>Linen Keeper</t>
  </si>
  <si>
    <t>Valet</t>
  </si>
  <si>
    <t>Launderer, Sewing Attendant</t>
  </si>
  <si>
    <t>Trainee, Certified Trainee</t>
  </si>
  <si>
    <t>Sports Instructor</t>
  </si>
  <si>
    <t>Entertainer</t>
  </si>
  <si>
    <t>Skipper</t>
  </si>
  <si>
    <t>Skipper's Assistant</t>
  </si>
  <si>
    <t>Kitchen Helper, Sports &amp; Leisure Attendant, Cleaner</t>
  </si>
  <si>
    <t>Water Plant/Waste Operative</t>
  </si>
  <si>
    <t>Cabinet Maker, Carpenter, Electrician, Welder/Plumber, Mason, Refrigeration Mechanic, Painter</t>
  </si>
  <si>
    <t>Handyperson</t>
  </si>
  <si>
    <t>Assistant Handyperson</t>
  </si>
  <si>
    <t>Animal Keeper</t>
  </si>
  <si>
    <t>Delivery Person</t>
  </si>
  <si>
    <t>Guide</t>
  </si>
  <si>
    <t>Kid's Club Hostess</t>
  </si>
  <si>
    <t>Spa Therapist/Hairdresser</t>
  </si>
  <si>
    <t>Proof Reader</t>
  </si>
  <si>
    <t>Cameraperson/ Platemaker, Photoengraver, Photo-type Setter, Computer to Plate Operator, Assistant Machine Operator</t>
  </si>
  <si>
    <t>Binder/Cutter</t>
  </si>
  <si>
    <t>Handyperson, Helper</t>
  </si>
  <si>
    <t>Clerk, Receptionist/Telephonist, Typist, Secretary</t>
  </si>
  <si>
    <t>Tanker Driver's Assistant</t>
  </si>
  <si>
    <t>Vehicle Assistant</t>
  </si>
  <si>
    <t>Baking Industry (Industrial Bakery)</t>
  </si>
  <si>
    <t>Bakery Operator</t>
  </si>
  <si>
    <t>Baking Industry (Mechanised Bakery)</t>
  </si>
  <si>
    <t>Brigadier</t>
  </si>
  <si>
    <t>Mixer</t>
  </si>
  <si>
    <t>Mechanised Bakery Helper</t>
  </si>
  <si>
    <t>Baking Industry (Biscuit Factory)</t>
  </si>
  <si>
    <t>Oven Operator</t>
  </si>
  <si>
    <t>6 day week</t>
  </si>
  <si>
    <t>Assistant Oven Operator</t>
  </si>
  <si>
    <t>Assistant Mixer</t>
  </si>
  <si>
    <t>Machine Operator (or Biscuit Stamping Machine Operator)</t>
  </si>
  <si>
    <t>Assistant Machine Operator</t>
  </si>
  <si>
    <t>Biscuit Factory Helper</t>
  </si>
  <si>
    <t>Baking Industry (Pastry Bakery)</t>
  </si>
  <si>
    <t>Pastry Bakery Helper</t>
  </si>
  <si>
    <t>Baking Industry (Other Employees)</t>
  </si>
  <si>
    <t>Salesperson</t>
  </si>
  <si>
    <t>Handpacker</t>
  </si>
  <si>
    <t>Store Assistant</t>
  </si>
  <si>
    <t>Caretaker/Cleaner</t>
  </si>
  <si>
    <t>Assistant Projectionist</t>
  </si>
  <si>
    <t>Box-office Attendant</t>
  </si>
  <si>
    <t>Ticket Controller</t>
  </si>
  <si>
    <t>Usher</t>
  </si>
  <si>
    <t>Café Keeper</t>
  </si>
  <si>
    <t>Private Hospitals and Other Related Health Services (Part II)</t>
  </si>
  <si>
    <t>Nursing Home Attendant, Launderer</t>
  </si>
  <si>
    <t>5th year and thereafter</t>
  </si>
  <si>
    <t>Kitchen Help</t>
  </si>
  <si>
    <t>3rd year and thereafter</t>
  </si>
  <si>
    <t>Cook</t>
  </si>
  <si>
    <t>Household employee/Cook</t>
  </si>
  <si>
    <t>Garde-malade</t>
  </si>
  <si>
    <t>54.81 Rs (Hourly)</t>
  </si>
  <si>
    <t>Monthly Basic 2024</t>
  </si>
  <si>
    <t>Monthly Basic 2025</t>
  </si>
  <si>
    <t xml:space="preserve">Daily Rate </t>
  </si>
  <si>
    <t>Productivity</t>
  </si>
  <si>
    <t>678.81  (Rate per show above 28 shows and for casual employees)</t>
  </si>
  <si>
    <t>658.24  (Rate per show above 28 shows and for casual employees)</t>
  </si>
  <si>
    <t xml:space="preserve"> (Rate per show above 28 shows and for casual employees)</t>
  </si>
  <si>
    <t xml:space="preserve">Hourly Rate </t>
  </si>
  <si>
    <t>838.86 (Intercrop)</t>
  </si>
  <si>
    <t>,709.80 (Crop)</t>
  </si>
  <si>
    <t xml:space="preserve">Industrial Bakery </t>
  </si>
  <si>
    <t xml:space="preserve">Mechanised bakery </t>
  </si>
  <si>
    <t xml:space="preserve">Biscuit Factory </t>
  </si>
  <si>
    <t xml:space="preserve">Pastry Bakery </t>
  </si>
  <si>
    <t>Minimum salary Diploma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</si>
</sst>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4" fontId="1" fillId="0" borderId="0" xfId="0" applyNumberFormat="1" applyFont="1" applyAlignment="1"/>
    <xf numFmtId="0" fontId="1" fillId="0" borderId="1" xfId="0" applyFont="1" applyBorder="1" applyAlignment="1"/>
    <xf numFmtId="3" fontId="1" fillId="0" borderId="1" xfId="0" applyNumberFormat="1" applyFont="1" applyBorder="1" applyAlignment="1"/>
    <xf numFmtId="0" fontId="0" fillId="0" borderId="1" xfId="0" applyFont="1" applyBorder="1" applyAlignment="1"/>
    <xf numFmtId="0" fontId="0" fillId="2" borderId="0" xfId="0" applyFont="1" applyFill="1" applyAlignment="1"/>
    <xf numFmtId="0" fontId="1" fillId="0" borderId="0" xfId="0" applyFont="1" applyBorder="1" applyAlignment="1"/>
    <xf numFmtId="0" fontId="0" fillId="0" borderId="0" xfId="0" applyFont="1" applyBorder="1" applyAlignment="1"/>
    <xf numFmtId="3" fontId="1" fillId="0" borderId="0" xfId="0" applyNumberFormat="1" applyFont="1" applyBorder="1" applyAlignment="1"/>
    <xf numFmtId="0" fontId="1" fillId="3" borderId="0" xfId="0" applyFont="1" applyFill="1" applyAlignment="1"/>
    <xf numFmtId="3" fontId="1" fillId="3" borderId="0" xfId="0" applyNumberFormat="1" applyFont="1" applyFill="1" applyAlignment="1"/>
    <xf numFmtId="0" fontId="0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4"/>
  <sheetViews>
    <sheetView tabSelected="1" zoomScale="90" zoomScaleNormal="90" workbookViewId="0">
      <pane ySplit="1" topLeftCell="A2" activePane="bottomLeft" state="frozen"/>
      <selection pane="bottomLeft" activeCell="B210" sqref="B210"/>
    </sheetView>
  </sheetViews>
  <sheetFormatPr baseColWidth="10" defaultColWidth="12.6640625" defaultRowHeight="15.75" customHeight="1" x14ac:dyDescent="0.25"/>
  <cols>
    <col min="1" max="1" width="40.5546875" customWidth="1"/>
    <col min="2" max="2" width="54.109375" customWidth="1"/>
    <col min="3" max="3" width="31.21875" customWidth="1"/>
    <col min="4" max="4" width="18.109375" customWidth="1"/>
    <col min="5" max="6" width="16.33203125" customWidth="1"/>
    <col min="7" max="7" width="1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247</v>
      </c>
    </row>
    <row r="2" spans="1:9" x14ac:dyDescent="0.25">
      <c r="A2" s="1" t="s">
        <v>38</v>
      </c>
      <c r="B2" s="1" t="s">
        <v>39</v>
      </c>
      <c r="C2" s="1" t="s">
        <v>6</v>
      </c>
      <c r="D2" s="1" t="s">
        <v>40</v>
      </c>
      <c r="E2" s="2">
        <v>21554</v>
      </c>
      <c r="F2" s="2">
        <f>E2+610</f>
        <v>22164</v>
      </c>
      <c r="G2" s="1" t="s">
        <v>6</v>
      </c>
    </row>
    <row r="3" spans="1:9" x14ac:dyDescent="0.25">
      <c r="A3" s="1" t="s">
        <v>38</v>
      </c>
      <c r="B3" s="1" t="s">
        <v>67</v>
      </c>
      <c r="C3" s="1" t="s">
        <v>6</v>
      </c>
      <c r="D3" s="1" t="s">
        <v>68</v>
      </c>
      <c r="E3" s="2">
        <v>19920</v>
      </c>
      <c r="F3" s="2">
        <f>E3+610</f>
        <v>20530</v>
      </c>
      <c r="G3" s="1" t="s">
        <v>6</v>
      </c>
    </row>
    <row r="4" spans="1:9" x14ac:dyDescent="0.25">
      <c r="A4" s="1" t="s">
        <v>55</v>
      </c>
      <c r="B4" s="1" t="s">
        <v>56</v>
      </c>
      <c r="C4" s="1" t="s">
        <v>57</v>
      </c>
      <c r="D4" s="1" t="s">
        <v>6</v>
      </c>
      <c r="E4" s="1" t="s">
        <v>6</v>
      </c>
      <c r="F4" s="2" t="str">
        <f>E4</f>
        <v>-</v>
      </c>
      <c r="G4" s="1">
        <v>810.89</v>
      </c>
    </row>
    <row r="5" spans="1:9" x14ac:dyDescent="0.25">
      <c r="A5" s="1" t="s">
        <v>211</v>
      </c>
      <c r="B5" s="1" t="s">
        <v>212</v>
      </c>
      <c r="C5" s="1" t="s">
        <v>213</v>
      </c>
      <c r="D5" s="1" t="s">
        <v>6</v>
      </c>
      <c r="E5" s="1" t="s">
        <v>6</v>
      </c>
      <c r="F5" s="2"/>
      <c r="G5" s="1">
        <v>647.70000000000005</v>
      </c>
    </row>
    <row r="6" spans="1:9" x14ac:dyDescent="0.25">
      <c r="A6" s="1" t="s">
        <v>205</v>
      </c>
      <c r="B6" s="1" t="s">
        <v>206</v>
      </c>
      <c r="C6" s="1" t="s">
        <v>6</v>
      </c>
      <c r="D6" s="1" t="s">
        <v>6</v>
      </c>
      <c r="E6" s="1">
        <f>24*G6</f>
        <v>19065.36</v>
      </c>
      <c r="F6" s="2"/>
      <c r="G6" s="1">
        <v>794.39</v>
      </c>
    </row>
    <row r="7" spans="1:9" x14ac:dyDescent="0.25">
      <c r="A7" s="1" t="s">
        <v>207</v>
      </c>
      <c r="B7" s="1" t="s">
        <v>208</v>
      </c>
      <c r="C7" s="1" t="s">
        <v>59</v>
      </c>
      <c r="D7" s="1" t="s">
        <v>6</v>
      </c>
      <c r="E7" s="1" t="s">
        <v>6</v>
      </c>
      <c r="F7" s="2"/>
      <c r="G7" s="1">
        <v>699.94</v>
      </c>
    </row>
    <row r="8" spans="1:9" x14ac:dyDescent="0.25">
      <c r="A8" s="1" t="s">
        <v>207</v>
      </c>
      <c r="B8" s="1" t="s">
        <v>58</v>
      </c>
      <c r="C8" s="1" t="s">
        <v>59</v>
      </c>
      <c r="D8" s="1" t="s">
        <v>6</v>
      </c>
      <c r="E8" s="1" t="s">
        <v>6</v>
      </c>
      <c r="F8" s="2" t="str">
        <f>E8</f>
        <v>-</v>
      </c>
      <c r="G8" s="1">
        <v>752.57</v>
      </c>
    </row>
    <row r="9" spans="1:9" x14ac:dyDescent="0.25">
      <c r="A9" s="1" t="s">
        <v>221</v>
      </c>
      <c r="B9" s="1" t="s">
        <v>39</v>
      </c>
      <c r="C9" s="1" t="s">
        <v>6</v>
      </c>
      <c r="D9" s="1" t="s">
        <v>46</v>
      </c>
      <c r="E9" s="2">
        <v>19155</v>
      </c>
      <c r="F9" s="2">
        <f>E9+610</f>
        <v>19765</v>
      </c>
      <c r="G9" s="1" t="s">
        <v>6</v>
      </c>
    </row>
    <row r="10" spans="1:9" x14ac:dyDescent="0.25">
      <c r="A10" s="1" t="s">
        <v>221</v>
      </c>
      <c r="B10" s="1" t="s">
        <v>63</v>
      </c>
      <c r="C10" s="1" t="s">
        <v>6</v>
      </c>
      <c r="D10" s="1" t="s">
        <v>74</v>
      </c>
      <c r="E10" s="2">
        <v>18140</v>
      </c>
      <c r="F10" s="2">
        <f>E10+610</f>
        <v>18750</v>
      </c>
      <c r="G10" s="1" t="s">
        <v>6</v>
      </c>
    </row>
    <row r="11" spans="1:9" x14ac:dyDescent="0.25">
      <c r="A11" s="1" t="s">
        <v>221</v>
      </c>
      <c r="B11" s="1" t="s">
        <v>222</v>
      </c>
      <c r="C11" s="1" t="s">
        <v>6</v>
      </c>
      <c r="D11" s="1" t="s">
        <v>74</v>
      </c>
      <c r="E11" s="2">
        <v>17445</v>
      </c>
      <c r="F11" s="2">
        <f>E11+610</f>
        <v>18055</v>
      </c>
      <c r="G11" s="1" t="s">
        <v>6</v>
      </c>
    </row>
    <row r="12" spans="1:9" x14ac:dyDescent="0.25">
      <c r="A12" s="1" t="s">
        <v>221</v>
      </c>
      <c r="B12" s="1" t="s">
        <v>223</v>
      </c>
      <c r="C12" s="1" t="s">
        <v>213</v>
      </c>
      <c r="D12" s="1" t="s">
        <v>6</v>
      </c>
      <c r="E12" s="1" t="s">
        <v>6</v>
      </c>
      <c r="F12" s="2" t="str">
        <f>E12</f>
        <v>-</v>
      </c>
      <c r="G12" s="1">
        <v>634.61</v>
      </c>
    </row>
    <row r="13" spans="1:9" x14ac:dyDescent="0.25">
      <c r="A13" s="1" t="s">
        <v>219</v>
      </c>
      <c r="B13" s="1" t="s">
        <v>212</v>
      </c>
      <c r="C13" s="1" t="s">
        <v>213</v>
      </c>
      <c r="D13" s="1" t="s">
        <v>6</v>
      </c>
      <c r="E13" s="1" t="s">
        <v>6</v>
      </c>
      <c r="F13" s="2"/>
      <c r="G13" s="1">
        <v>659.46</v>
      </c>
    </row>
    <row r="14" spans="1:9" x14ac:dyDescent="0.25">
      <c r="A14" s="8" t="s">
        <v>49</v>
      </c>
      <c r="B14" s="8" t="s">
        <v>50</v>
      </c>
      <c r="C14" s="8" t="s">
        <v>51</v>
      </c>
      <c r="D14" s="8" t="s">
        <v>6</v>
      </c>
      <c r="E14" s="8" t="s">
        <v>6</v>
      </c>
      <c r="F14" s="10" t="str">
        <f>E14</f>
        <v>-</v>
      </c>
      <c r="G14" s="9"/>
      <c r="H14" s="8">
        <v>32.82</v>
      </c>
      <c r="I14" s="9"/>
    </row>
    <row r="15" spans="1:9" x14ac:dyDescent="0.25">
      <c r="A15" s="8" t="s">
        <v>49</v>
      </c>
      <c r="B15" s="8" t="s">
        <v>50</v>
      </c>
      <c r="C15" s="8" t="s">
        <v>52</v>
      </c>
      <c r="D15" s="8" t="s">
        <v>6</v>
      </c>
      <c r="E15" s="8" t="s">
        <v>6</v>
      </c>
      <c r="F15" s="10" t="str">
        <f>E15</f>
        <v>-</v>
      </c>
      <c r="G15" s="9"/>
      <c r="H15" s="8">
        <v>43.41</v>
      </c>
      <c r="I15" s="9"/>
    </row>
    <row r="16" spans="1:9" x14ac:dyDescent="0.25">
      <c r="A16" s="8" t="s">
        <v>49</v>
      </c>
      <c r="B16" s="8" t="s">
        <v>53</v>
      </c>
      <c r="C16" s="8" t="s">
        <v>54</v>
      </c>
      <c r="D16" s="8" t="s">
        <v>6</v>
      </c>
      <c r="E16" s="8" t="s">
        <v>6</v>
      </c>
      <c r="F16" s="10" t="str">
        <f>E16</f>
        <v>-</v>
      </c>
      <c r="G16" s="8">
        <v>807.39</v>
      </c>
      <c r="H16" s="9"/>
      <c r="I16" s="9"/>
    </row>
    <row r="17" spans="1:10" x14ac:dyDescent="0.25">
      <c r="A17" s="1" t="s">
        <v>252</v>
      </c>
      <c r="B17" s="1" t="s">
        <v>214</v>
      </c>
      <c r="C17" s="1" t="s">
        <v>213</v>
      </c>
      <c r="D17" s="1" t="s">
        <v>6</v>
      </c>
      <c r="E17" s="1" t="s">
        <v>6</v>
      </c>
      <c r="F17" s="2"/>
      <c r="G17" s="1">
        <v>643.29999999999995</v>
      </c>
    </row>
    <row r="18" spans="1:10" x14ac:dyDescent="0.25">
      <c r="A18" s="1" t="s">
        <v>252</v>
      </c>
      <c r="B18" s="1" t="s">
        <v>209</v>
      </c>
      <c r="C18" s="1" t="s">
        <v>213</v>
      </c>
      <c r="D18" s="1" t="s">
        <v>6</v>
      </c>
      <c r="E18" s="1" t="s">
        <v>6</v>
      </c>
      <c r="F18" s="2"/>
      <c r="G18" s="1">
        <v>659.46</v>
      </c>
    </row>
    <row r="19" spans="1:10" x14ac:dyDescent="0.25">
      <c r="A19" s="1" t="s">
        <v>252</v>
      </c>
      <c r="B19" s="1" t="s">
        <v>215</v>
      </c>
      <c r="C19" s="1" t="s">
        <v>213</v>
      </c>
      <c r="D19" s="1" t="s">
        <v>6</v>
      </c>
      <c r="E19" s="1" t="s">
        <v>6</v>
      </c>
      <c r="F19" s="2"/>
      <c r="G19" s="1">
        <v>643.29999999999995</v>
      </c>
    </row>
    <row r="20" spans="1:10" x14ac:dyDescent="0.25">
      <c r="A20" s="1" t="s">
        <v>252</v>
      </c>
      <c r="B20" s="1" t="s">
        <v>216</v>
      </c>
      <c r="C20" s="1" t="s">
        <v>213</v>
      </c>
      <c r="D20" s="1" t="s">
        <v>6</v>
      </c>
      <c r="E20" s="1" t="s">
        <v>6</v>
      </c>
      <c r="F20" s="2"/>
      <c r="G20" s="1">
        <v>659.46</v>
      </c>
    </row>
    <row r="21" spans="1:10" x14ac:dyDescent="0.25">
      <c r="A21" s="1" t="s">
        <v>252</v>
      </c>
      <c r="B21" s="1" t="s">
        <v>217</v>
      </c>
      <c r="C21" s="1" t="s">
        <v>213</v>
      </c>
      <c r="D21" s="1" t="s">
        <v>6</v>
      </c>
      <c r="E21" s="1" t="s">
        <v>6</v>
      </c>
      <c r="F21" s="2"/>
      <c r="G21" s="1">
        <v>643.29999999999995</v>
      </c>
    </row>
    <row r="22" spans="1:10" x14ac:dyDescent="0.25">
      <c r="A22" s="1" t="s">
        <v>252</v>
      </c>
      <c r="B22" s="1" t="s">
        <v>218</v>
      </c>
      <c r="C22" s="1" t="s">
        <v>213</v>
      </c>
      <c r="D22" s="1" t="s">
        <v>6</v>
      </c>
      <c r="E22" s="1" t="s">
        <v>6</v>
      </c>
      <c r="F22" s="2"/>
      <c r="G22" s="1">
        <v>638.49</v>
      </c>
    </row>
    <row r="23" spans="1:10" x14ac:dyDescent="0.25">
      <c r="A23" s="1" t="s">
        <v>252</v>
      </c>
      <c r="B23" s="1" t="s">
        <v>214</v>
      </c>
      <c r="C23" s="1" t="s">
        <v>213</v>
      </c>
      <c r="D23" s="1" t="s">
        <v>6</v>
      </c>
      <c r="E23" s="1" t="s">
        <v>6</v>
      </c>
      <c r="F23" s="2"/>
      <c r="G23" s="1">
        <v>647.70000000000005</v>
      </c>
    </row>
    <row r="24" spans="1:10" x14ac:dyDescent="0.25">
      <c r="A24" s="1" t="s">
        <v>34</v>
      </c>
      <c r="B24" s="1" t="s">
        <v>35</v>
      </c>
      <c r="C24" s="1" t="s">
        <v>6</v>
      </c>
      <c r="D24" s="1" t="s">
        <v>6</v>
      </c>
      <c r="E24" s="2">
        <v>22151</v>
      </c>
      <c r="F24" s="2">
        <f>E24+610</f>
        <v>22761</v>
      </c>
      <c r="G24" s="1" t="s">
        <v>6</v>
      </c>
    </row>
    <row r="25" spans="1:10" x14ac:dyDescent="0.25">
      <c r="A25" s="1" t="s">
        <v>34</v>
      </c>
      <c r="B25" s="1" t="s">
        <v>154</v>
      </c>
      <c r="C25" s="1" t="s">
        <v>6</v>
      </c>
      <c r="D25" s="1" t="s">
        <v>37</v>
      </c>
      <c r="E25" s="2">
        <v>20981</v>
      </c>
      <c r="F25" s="2">
        <f>E25+610</f>
        <v>21591</v>
      </c>
      <c r="G25" s="1" t="s">
        <v>6</v>
      </c>
    </row>
    <row r="26" spans="1:10" x14ac:dyDescent="0.25">
      <c r="A26" s="1" t="s">
        <v>34</v>
      </c>
      <c r="B26" s="1" t="s">
        <v>155</v>
      </c>
      <c r="C26" s="1" t="s">
        <v>6</v>
      </c>
      <c r="D26" s="1" t="s">
        <v>37</v>
      </c>
      <c r="E26" s="2">
        <v>20465</v>
      </c>
      <c r="F26" s="2">
        <f>E26+610</f>
        <v>21075</v>
      </c>
      <c r="G26" s="1" t="s">
        <v>6</v>
      </c>
    </row>
    <row r="27" spans="1:10" x14ac:dyDescent="0.25">
      <c r="A27" s="1" t="s">
        <v>34</v>
      </c>
      <c r="B27" s="1" t="s">
        <v>156</v>
      </c>
      <c r="C27" s="1" t="s">
        <v>6</v>
      </c>
      <c r="D27" s="1" t="s">
        <v>37</v>
      </c>
      <c r="E27" s="2">
        <v>19123</v>
      </c>
      <c r="F27" s="2">
        <f>E27+610</f>
        <v>19733</v>
      </c>
      <c r="G27" s="1" t="s">
        <v>6</v>
      </c>
    </row>
    <row r="28" spans="1:10" s="6" customFormat="1" x14ac:dyDescent="0.25">
      <c r="A28" s="4" t="s">
        <v>34</v>
      </c>
      <c r="B28" s="4" t="s">
        <v>157</v>
      </c>
      <c r="C28" s="4" t="s">
        <v>6</v>
      </c>
      <c r="D28" s="4" t="s">
        <v>37</v>
      </c>
      <c r="E28" s="5">
        <v>18993</v>
      </c>
      <c r="F28" s="5">
        <f>E28+610</f>
        <v>19603</v>
      </c>
      <c r="G28" s="4" t="s">
        <v>6</v>
      </c>
    </row>
    <row r="29" spans="1:10" s="6" customFormat="1" x14ac:dyDescent="0.25">
      <c r="A29" s="4" t="s">
        <v>34</v>
      </c>
      <c r="B29" s="4" t="s">
        <v>158</v>
      </c>
      <c r="C29" s="4" t="s">
        <v>6</v>
      </c>
      <c r="D29" s="4" t="s">
        <v>37</v>
      </c>
      <c r="E29" s="5">
        <v>20273</v>
      </c>
      <c r="F29" s="5">
        <f>E29+610</f>
        <v>20883</v>
      </c>
      <c r="G29" s="4" t="s">
        <v>6</v>
      </c>
    </row>
    <row r="30" spans="1:10" s="6" customFormat="1" x14ac:dyDescent="0.25">
      <c r="A30" s="4" t="s">
        <v>34</v>
      </c>
      <c r="B30" s="4" t="s">
        <v>159</v>
      </c>
      <c r="C30" s="4" t="s">
        <v>6</v>
      </c>
      <c r="D30" s="4" t="s">
        <v>37</v>
      </c>
      <c r="E30" s="5">
        <v>18925</v>
      </c>
      <c r="F30" s="5">
        <f>E30+610</f>
        <v>19535</v>
      </c>
      <c r="G30" s="4" t="s">
        <v>6</v>
      </c>
    </row>
    <row r="31" spans="1:10" x14ac:dyDescent="0.25">
      <c r="A31" s="8" t="s">
        <v>34</v>
      </c>
      <c r="B31" s="8" t="s">
        <v>160</v>
      </c>
      <c r="C31" s="8" t="s">
        <v>6</v>
      </c>
      <c r="D31" s="8" t="s">
        <v>37</v>
      </c>
      <c r="E31" s="10">
        <v>18548</v>
      </c>
      <c r="F31" s="10">
        <f>E31+610</f>
        <v>19158</v>
      </c>
      <c r="G31" s="8" t="s">
        <v>6</v>
      </c>
      <c r="H31" s="9"/>
      <c r="I31" s="9"/>
      <c r="J31" s="9"/>
    </row>
    <row r="32" spans="1:10" x14ac:dyDescent="0.25">
      <c r="A32" s="8" t="s">
        <v>34</v>
      </c>
      <c r="B32" s="8" t="s">
        <v>161</v>
      </c>
      <c r="C32" s="8" t="s">
        <v>6</v>
      </c>
      <c r="D32" s="8" t="s">
        <v>6</v>
      </c>
      <c r="E32" s="10">
        <v>21186</v>
      </c>
      <c r="F32" s="10">
        <f>E32+610</f>
        <v>21796</v>
      </c>
      <c r="G32" s="8" t="s">
        <v>6</v>
      </c>
      <c r="H32" s="9"/>
      <c r="I32" s="9"/>
      <c r="J32" s="9"/>
    </row>
    <row r="33" spans="1:10" x14ac:dyDescent="0.25">
      <c r="A33" s="8" t="s">
        <v>34</v>
      </c>
      <c r="B33" s="8" t="s">
        <v>162</v>
      </c>
      <c r="C33" s="8" t="s">
        <v>6</v>
      </c>
      <c r="D33" s="8" t="s">
        <v>37</v>
      </c>
      <c r="E33" s="10">
        <v>20273</v>
      </c>
      <c r="F33" s="10">
        <f>E33+610</f>
        <v>20883</v>
      </c>
      <c r="G33" s="8" t="s">
        <v>6</v>
      </c>
      <c r="H33" s="9"/>
      <c r="I33" s="9"/>
      <c r="J33" s="9"/>
    </row>
    <row r="34" spans="1:10" s="7" customFormat="1" x14ac:dyDescent="0.25">
      <c r="A34" s="1" t="s">
        <v>34</v>
      </c>
      <c r="B34" s="1" t="s">
        <v>163</v>
      </c>
      <c r="C34" s="1" t="s">
        <v>6</v>
      </c>
      <c r="D34" s="1" t="s">
        <v>37</v>
      </c>
      <c r="E34" s="2">
        <v>18548</v>
      </c>
      <c r="F34" s="2">
        <f>E34+610</f>
        <v>19158</v>
      </c>
      <c r="G34" s="1" t="s">
        <v>6</v>
      </c>
      <c r="H34"/>
      <c r="I34"/>
      <c r="J34"/>
    </row>
    <row r="35" spans="1:10" x14ac:dyDescent="0.25">
      <c r="A35" s="1" t="s">
        <v>34</v>
      </c>
      <c r="B35" s="1" t="s">
        <v>164</v>
      </c>
      <c r="C35" s="1" t="s">
        <v>6</v>
      </c>
      <c r="D35" s="1" t="s">
        <v>37</v>
      </c>
      <c r="E35" s="2">
        <v>21826</v>
      </c>
      <c r="F35" s="2">
        <f>E35+610</f>
        <v>22436</v>
      </c>
      <c r="G35" s="1" t="s">
        <v>6</v>
      </c>
    </row>
    <row r="36" spans="1:10" x14ac:dyDescent="0.25">
      <c r="A36" s="1" t="s">
        <v>34</v>
      </c>
      <c r="B36" s="1" t="s">
        <v>165</v>
      </c>
      <c r="C36" s="1" t="s">
        <v>6</v>
      </c>
      <c r="D36" s="1" t="s">
        <v>37</v>
      </c>
      <c r="E36" s="2">
        <v>19417</v>
      </c>
      <c r="F36" s="2">
        <f>E36+610</f>
        <v>20027</v>
      </c>
      <c r="G36" s="1" t="s">
        <v>6</v>
      </c>
    </row>
    <row r="37" spans="1:10" x14ac:dyDescent="0.25">
      <c r="A37" s="1" t="s">
        <v>34</v>
      </c>
      <c r="B37" s="1" t="s">
        <v>166</v>
      </c>
      <c r="C37" s="1" t="s">
        <v>6</v>
      </c>
      <c r="D37" s="1" t="s">
        <v>37</v>
      </c>
      <c r="E37" s="2">
        <v>20460</v>
      </c>
      <c r="F37" s="2">
        <f>E37+610</f>
        <v>21070</v>
      </c>
      <c r="G37" s="1" t="s">
        <v>6</v>
      </c>
    </row>
    <row r="38" spans="1:10" x14ac:dyDescent="0.25">
      <c r="A38" s="1" t="s">
        <v>34</v>
      </c>
      <c r="B38" s="1" t="s">
        <v>167</v>
      </c>
      <c r="C38" s="1" t="s">
        <v>6</v>
      </c>
      <c r="D38" s="1" t="s">
        <v>37</v>
      </c>
      <c r="E38" s="2">
        <v>19123</v>
      </c>
      <c r="F38" s="2">
        <f>E38+610</f>
        <v>19733</v>
      </c>
      <c r="G38" s="1" t="s">
        <v>6</v>
      </c>
    </row>
    <row r="39" spans="1:10" x14ac:dyDescent="0.25">
      <c r="A39" s="1" t="s">
        <v>34</v>
      </c>
      <c r="B39" s="1" t="s">
        <v>168</v>
      </c>
      <c r="C39" s="1" t="s">
        <v>6</v>
      </c>
      <c r="D39" s="1" t="s">
        <v>37</v>
      </c>
      <c r="E39" s="2">
        <v>18328</v>
      </c>
      <c r="F39" s="2">
        <f>E39+610</f>
        <v>18938</v>
      </c>
      <c r="G39" s="1" t="s">
        <v>6</v>
      </c>
    </row>
    <row r="40" spans="1:10" x14ac:dyDescent="0.25">
      <c r="A40" s="1" t="s">
        <v>34</v>
      </c>
      <c r="B40" s="1" t="s">
        <v>169</v>
      </c>
      <c r="C40" s="1" t="s">
        <v>6</v>
      </c>
      <c r="D40" s="1" t="s">
        <v>37</v>
      </c>
      <c r="E40" s="2">
        <v>20983</v>
      </c>
      <c r="F40" s="2">
        <f>E40+610</f>
        <v>21593</v>
      </c>
      <c r="G40" s="1" t="s">
        <v>6</v>
      </c>
    </row>
    <row r="41" spans="1:10" x14ac:dyDescent="0.25">
      <c r="A41" s="1" t="s">
        <v>34</v>
      </c>
      <c r="B41" s="1" t="s">
        <v>170</v>
      </c>
      <c r="C41" s="1" t="s">
        <v>6</v>
      </c>
      <c r="D41" s="1" t="s">
        <v>37</v>
      </c>
      <c r="E41" s="2">
        <v>19745</v>
      </c>
      <c r="F41" s="2">
        <f>E41+610</f>
        <v>20355</v>
      </c>
      <c r="G41" s="1" t="s">
        <v>6</v>
      </c>
    </row>
    <row r="42" spans="1:10" x14ac:dyDescent="0.25">
      <c r="A42" s="1" t="s">
        <v>34</v>
      </c>
      <c r="B42" s="1" t="s">
        <v>171</v>
      </c>
      <c r="C42" s="1" t="s">
        <v>6</v>
      </c>
      <c r="D42" s="1" t="s">
        <v>37</v>
      </c>
      <c r="E42" s="2">
        <v>19288</v>
      </c>
      <c r="F42" s="2">
        <f>E42+610</f>
        <v>19898</v>
      </c>
      <c r="G42" s="1" t="s">
        <v>6</v>
      </c>
    </row>
    <row r="43" spans="1:10" x14ac:dyDescent="0.25">
      <c r="A43" s="1" t="s">
        <v>34</v>
      </c>
      <c r="B43" s="1" t="s">
        <v>172</v>
      </c>
      <c r="C43" s="1" t="s">
        <v>6</v>
      </c>
      <c r="D43" s="1" t="s">
        <v>37</v>
      </c>
      <c r="E43" s="2">
        <v>19615</v>
      </c>
      <c r="F43" s="2">
        <f>E43+610</f>
        <v>20225</v>
      </c>
      <c r="G43" s="1" t="s">
        <v>6</v>
      </c>
    </row>
    <row r="44" spans="1:10" x14ac:dyDescent="0.25">
      <c r="A44" s="1" t="s">
        <v>34</v>
      </c>
      <c r="B44" s="1" t="s">
        <v>173</v>
      </c>
      <c r="C44" s="1" t="s">
        <v>6</v>
      </c>
      <c r="D44" s="1" t="s">
        <v>37</v>
      </c>
      <c r="E44" s="2">
        <v>20788</v>
      </c>
      <c r="F44" s="2">
        <f>E44+610</f>
        <v>21398</v>
      </c>
      <c r="G44" s="1" t="s">
        <v>6</v>
      </c>
    </row>
    <row r="45" spans="1:10" x14ac:dyDescent="0.25">
      <c r="A45" s="1" t="s">
        <v>34</v>
      </c>
      <c r="B45" s="1" t="s">
        <v>174</v>
      </c>
      <c r="C45" s="1" t="s">
        <v>6</v>
      </c>
      <c r="D45" s="1" t="s">
        <v>37</v>
      </c>
      <c r="E45" s="2">
        <v>19882</v>
      </c>
      <c r="F45" s="2">
        <f>E45+610</f>
        <v>20492</v>
      </c>
      <c r="G45" s="1" t="s">
        <v>6</v>
      </c>
    </row>
    <row r="46" spans="1:10" x14ac:dyDescent="0.25">
      <c r="A46" s="1" t="s">
        <v>34</v>
      </c>
      <c r="B46" s="1" t="s">
        <v>147</v>
      </c>
      <c r="C46" s="1" t="s">
        <v>6</v>
      </c>
      <c r="D46" s="1" t="s">
        <v>112</v>
      </c>
      <c r="E46" s="2">
        <v>21639</v>
      </c>
      <c r="F46" s="2">
        <f>E46+610</f>
        <v>22249</v>
      </c>
      <c r="G46" s="1" t="s">
        <v>6</v>
      </c>
    </row>
    <row r="47" spans="1:10" x14ac:dyDescent="0.25">
      <c r="A47" s="1" t="s">
        <v>34</v>
      </c>
      <c r="B47" s="1" t="s">
        <v>175</v>
      </c>
      <c r="C47" s="1" t="s">
        <v>6</v>
      </c>
      <c r="D47" s="1" t="s">
        <v>37</v>
      </c>
      <c r="E47" s="2">
        <v>20526</v>
      </c>
      <c r="F47" s="2">
        <f>E47+610</f>
        <v>21136</v>
      </c>
      <c r="G47" s="1" t="s">
        <v>6</v>
      </c>
    </row>
    <row r="48" spans="1:10" x14ac:dyDescent="0.25">
      <c r="A48" s="1" t="s">
        <v>34</v>
      </c>
      <c r="B48" s="1" t="s">
        <v>176</v>
      </c>
      <c r="C48" s="1" t="s">
        <v>6</v>
      </c>
      <c r="D48" s="1" t="s">
        <v>37</v>
      </c>
      <c r="E48" s="2">
        <v>19123</v>
      </c>
      <c r="F48" s="2">
        <f>E48+610</f>
        <v>19733</v>
      </c>
      <c r="G48" s="1" t="s">
        <v>6</v>
      </c>
    </row>
    <row r="49" spans="1:7" x14ac:dyDescent="0.25">
      <c r="A49" s="1" t="s">
        <v>34</v>
      </c>
      <c r="B49" s="1" t="s">
        <v>177</v>
      </c>
      <c r="C49" s="1" t="s">
        <v>6</v>
      </c>
      <c r="D49" s="1" t="s">
        <v>37</v>
      </c>
      <c r="E49" s="2">
        <v>18688</v>
      </c>
      <c r="F49" s="2">
        <f>E49+610</f>
        <v>19298</v>
      </c>
      <c r="G49" s="1" t="s">
        <v>6</v>
      </c>
    </row>
    <row r="50" spans="1:7" x14ac:dyDescent="0.25">
      <c r="A50" s="1" t="s">
        <v>34</v>
      </c>
      <c r="B50" s="1" t="s">
        <v>178</v>
      </c>
      <c r="C50" s="1" t="s">
        <v>6</v>
      </c>
      <c r="D50" s="1" t="s">
        <v>37</v>
      </c>
      <c r="E50" s="2">
        <v>21701</v>
      </c>
      <c r="F50" s="2">
        <f>E50+610</f>
        <v>22311</v>
      </c>
      <c r="G50" s="1" t="s">
        <v>6</v>
      </c>
    </row>
    <row r="51" spans="1:7" x14ac:dyDescent="0.25">
      <c r="A51" s="1" t="s">
        <v>34</v>
      </c>
      <c r="B51" s="1" t="s">
        <v>179</v>
      </c>
      <c r="C51" s="1" t="s">
        <v>6</v>
      </c>
      <c r="D51" s="1" t="s">
        <v>37</v>
      </c>
      <c r="E51" s="2">
        <v>21186</v>
      </c>
      <c r="F51" s="2">
        <f>E51+610</f>
        <v>21796</v>
      </c>
      <c r="G51" s="1" t="s">
        <v>6</v>
      </c>
    </row>
    <row r="52" spans="1:7" x14ac:dyDescent="0.25">
      <c r="A52" s="1" t="s">
        <v>34</v>
      </c>
      <c r="B52" s="1" t="s">
        <v>180</v>
      </c>
      <c r="C52" s="1" t="s">
        <v>6</v>
      </c>
      <c r="D52" s="1" t="s">
        <v>37</v>
      </c>
      <c r="E52" s="2">
        <v>20788</v>
      </c>
      <c r="F52" s="2">
        <f>E52+610</f>
        <v>21398</v>
      </c>
      <c r="G52" s="1" t="s">
        <v>6</v>
      </c>
    </row>
    <row r="53" spans="1:7" x14ac:dyDescent="0.25">
      <c r="A53" s="1" t="s">
        <v>34</v>
      </c>
      <c r="B53" s="1" t="s">
        <v>181</v>
      </c>
      <c r="C53" s="1" t="s">
        <v>6</v>
      </c>
      <c r="D53" s="1" t="s">
        <v>37</v>
      </c>
      <c r="E53" s="2">
        <v>18548</v>
      </c>
      <c r="F53" s="2">
        <f>E53+610</f>
        <v>19158</v>
      </c>
      <c r="G53" s="1" t="s">
        <v>6</v>
      </c>
    </row>
    <row r="54" spans="1:7" x14ac:dyDescent="0.25">
      <c r="A54" s="1" t="s">
        <v>34</v>
      </c>
      <c r="B54" s="1" t="s">
        <v>182</v>
      </c>
      <c r="C54" s="1" t="s">
        <v>6</v>
      </c>
      <c r="D54" s="1" t="s">
        <v>37</v>
      </c>
      <c r="E54" s="2">
        <v>18328</v>
      </c>
      <c r="F54" s="2">
        <f>E54+610</f>
        <v>18938</v>
      </c>
      <c r="G54" s="1" t="s">
        <v>6</v>
      </c>
    </row>
    <row r="55" spans="1:7" x14ac:dyDescent="0.25">
      <c r="A55" s="1" t="s">
        <v>34</v>
      </c>
      <c r="B55" s="1" t="s">
        <v>183</v>
      </c>
      <c r="C55" s="1" t="s">
        <v>6</v>
      </c>
      <c r="D55" s="1" t="s">
        <v>6</v>
      </c>
      <c r="E55" s="2">
        <v>16500</v>
      </c>
      <c r="F55" s="2">
        <f>E55+610</f>
        <v>17110</v>
      </c>
      <c r="G55" s="1" t="s">
        <v>6</v>
      </c>
    </row>
    <row r="56" spans="1:7" x14ac:dyDescent="0.25">
      <c r="A56" s="1" t="s">
        <v>34</v>
      </c>
      <c r="B56" s="1" t="s">
        <v>184</v>
      </c>
      <c r="C56" s="1" t="s">
        <v>6</v>
      </c>
      <c r="D56" s="1" t="s">
        <v>37</v>
      </c>
      <c r="E56" s="2">
        <v>21189</v>
      </c>
      <c r="F56" s="2">
        <f>E56+610</f>
        <v>21799</v>
      </c>
      <c r="G56" s="1" t="s">
        <v>6</v>
      </c>
    </row>
    <row r="57" spans="1:7" x14ac:dyDescent="0.25">
      <c r="A57" s="1" t="s">
        <v>34</v>
      </c>
      <c r="B57" s="1" t="s">
        <v>185</v>
      </c>
      <c r="C57" s="1" t="s">
        <v>6</v>
      </c>
      <c r="D57" s="1" t="s">
        <v>37</v>
      </c>
      <c r="E57" s="2">
        <v>20528</v>
      </c>
      <c r="F57" s="2">
        <f>E57+610</f>
        <v>21138</v>
      </c>
      <c r="G57" s="1" t="s">
        <v>6</v>
      </c>
    </row>
    <row r="58" spans="1:7" x14ac:dyDescent="0.25">
      <c r="A58" s="1" t="s">
        <v>34</v>
      </c>
      <c r="B58" s="1" t="s">
        <v>186</v>
      </c>
      <c r="C58" s="1" t="s">
        <v>6</v>
      </c>
      <c r="D58" s="1" t="s">
        <v>37</v>
      </c>
      <c r="E58" s="2">
        <v>18929</v>
      </c>
      <c r="F58" s="2">
        <f>E58+610</f>
        <v>19539</v>
      </c>
      <c r="G58" s="1" t="s">
        <v>6</v>
      </c>
    </row>
    <row r="59" spans="1:7" x14ac:dyDescent="0.25">
      <c r="A59" s="1" t="s">
        <v>34</v>
      </c>
      <c r="B59" s="1" t="s">
        <v>187</v>
      </c>
      <c r="C59" s="1" t="s">
        <v>6</v>
      </c>
      <c r="D59" s="1" t="s">
        <v>37</v>
      </c>
      <c r="E59" s="2">
        <v>18466</v>
      </c>
      <c r="F59" s="2">
        <f>E59+610</f>
        <v>19076</v>
      </c>
      <c r="G59" s="1" t="s">
        <v>6</v>
      </c>
    </row>
    <row r="60" spans="1:7" x14ac:dyDescent="0.25">
      <c r="A60" s="1" t="s">
        <v>34</v>
      </c>
      <c r="B60" s="1" t="s">
        <v>188</v>
      </c>
      <c r="C60" s="1" t="s">
        <v>6</v>
      </c>
      <c r="D60" s="1" t="s">
        <v>37</v>
      </c>
      <c r="E60" s="2">
        <v>18328</v>
      </c>
      <c r="F60" s="2">
        <f>E60+610</f>
        <v>18938</v>
      </c>
      <c r="G60" s="1" t="s">
        <v>6</v>
      </c>
    </row>
    <row r="61" spans="1:7" x14ac:dyDescent="0.25">
      <c r="A61" s="1" t="s">
        <v>34</v>
      </c>
      <c r="B61" s="1" t="s">
        <v>189</v>
      </c>
      <c r="C61" s="1" t="s">
        <v>6</v>
      </c>
      <c r="D61" s="1" t="s">
        <v>37</v>
      </c>
      <c r="E61" s="2">
        <v>18466</v>
      </c>
      <c r="F61" s="2">
        <f>E61+610</f>
        <v>19076</v>
      </c>
      <c r="G61" s="1" t="s">
        <v>6</v>
      </c>
    </row>
    <row r="62" spans="1:7" x14ac:dyDescent="0.25">
      <c r="A62" s="1" t="s">
        <v>34</v>
      </c>
      <c r="B62" s="1" t="s">
        <v>190</v>
      </c>
      <c r="C62" s="1" t="s">
        <v>6</v>
      </c>
      <c r="D62" s="1" t="s">
        <v>37</v>
      </c>
      <c r="E62" s="2">
        <v>20527</v>
      </c>
      <c r="F62" s="2">
        <f>E62+610</f>
        <v>21137</v>
      </c>
      <c r="G62" s="1" t="s">
        <v>6</v>
      </c>
    </row>
    <row r="63" spans="1:7" x14ac:dyDescent="0.25">
      <c r="A63" s="1" t="s">
        <v>34</v>
      </c>
      <c r="B63" s="1" t="s">
        <v>191</v>
      </c>
      <c r="C63" s="1" t="s">
        <v>6</v>
      </c>
      <c r="D63" s="1" t="s">
        <v>37</v>
      </c>
      <c r="E63" s="2">
        <v>20398</v>
      </c>
      <c r="F63" s="2">
        <f>E63+610</f>
        <v>21008</v>
      </c>
      <c r="G63" s="1" t="s">
        <v>6</v>
      </c>
    </row>
    <row r="64" spans="1:7" x14ac:dyDescent="0.25">
      <c r="A64" s="1" t="s">
        <v>34</v>
      </c>
      <c r="B64" s="1" t="s">
        <v>192</v>
      </c>
      <c r="C64" s="1" t="s">
        <v>6</v>
      </c>
      <c r="D64" s="1" t="s">
        <v>37</v>
      </c>
      <c r="E64" s="2">
        <v>20143</v>
      </c>
      <c r="F64" s="2">
        <f>E64+610</f>
        <v>20753</v>
      </c>
      <c r="G64" s="1" t="s">
        <v>6</v>
      </c>
    </row>
    <row r="65" spans="1:10" x14ac:dyDescent="0.25">
      <c r="A65" s="1" t="s">
        <v>34</v>
      </c>
      <c r="B65" s="1" t="s">
        <v>77</v>
      </c>
      <c r="C65" s="1" t="s">
        <v>6</v>
      </c>
      <c r="D65" s="1" t="s">
        <v>37</v>
      </c>
      <c r="E65" s="2">
        <v>18548</v>
      </c>
      <c r="F65" s="2">
        <f>E65+610</f>
        <v>19158</v>
      </c>
      <c r="G65" s="1" t="s">
        <v>6</v>
      </c>
    </row>
    <row r="66" spans="1:10" x14ac:dyDescent="0.25">
      <c r="A66" s="1" t="s">
        <v>34</v>
      </c>
      <c r="B66" s="1" t="s">
        <v>63</v>
      </c>
      <c r="C66" s="1" t="s">
        <v>6</v>
      </c>
      <c r="D66" s="1" t="s">
        <v>37</v>
      </c>
      <c r="E66" s="2">
        <v>19882</v>
      </c>
      <c r="F66" s="2">
        <f>E66+610</f>
        <v>20492</v>
      </c>
      <c r="G66" s="1" t="s">
        <v>6</v>
      </c>
    </row>
    <row r="67" spans="1:10" x14ac:dyDescent="0.25">
      <c r="A67" s="1" t="s">
        <v>34</v>
      </c>
      <c r="B67" s="1" t="s">
        <v>193</v>
      </c>
      <c r="C67" s="1" t="s">
        <v>6</v>
      </c>
      <c r="D67" s="1" t="s">
        <v>37</v>
      </c>
      <c r="E67" s="2">
        <v>18415</v>
      </c>
      <c r="F67" s="2">
        <f>E67+610</f>
        <v>19025</v>
      </c>
      <c r="G67" s="1" t="s">
        <v>6</v>
      </c>
    </row>
    <row r="68" spans="1:10" x14ac:dyDescent="0.25">
      <c r="A68" s="1" t="s">
        <v>34</v>
      </c>
      <c r="B68" s="1" t="s">
        <v>194</v>
      </c>
      <c r="C68" s="1" t="s">
        <v>6</v>
      </c>
      <c r="D68" s="1" t="s">
        <v>37</v>
      </c>
      <c r="E68" s="2">
        <v>18990</v>
      </c>
      <c r="F68" s="2">
        <f>E68+610</f>
        <v>19600</v>
      </c>
      <c r="G68" s="1" t="s">
        <v>6</v>
      </c>
    </row>
    <row r="69" spans="1:10" x14ac:dyDescent="0.25">
      <c r="A69" s="1" t="s">
        <v>34</v>
      </c>
      <c r="B69" s="1" t="s">
        <v>195</v>
      </c>
      <c r="C69" s="1" t="s">
        <v>6</v>
      </c>
      <c r="D69" s="1" t="s">
        <v>37</v>
      </c>
      <c r="E69" s="2">
        <v>19575</v>
      </c>
      <c r="F69" s="2">
        <f>E69+610</f>
        <v>20185</v>
      </c>
      <c r="G69" s="1" t="s">
        <v>6</v>
      </c>
    </row>
    <row r="70" spans="1:10" x14ac:dyDescent="0.25">
      <c r="A70" s="1" t="s">
        <v>34</v>
      </c>
      <c r="B70" s="1" t="s">
        <v>196</v>
      </c>
      <c r="C70" s="1" t="s">
        <v>6</v>
      </c>
      <c r="D70" s="1" t="s">
        <v>37</v>
      </c>
      <c r="E70" s="2">
        <v>17925</v>
      </c>
      <c r="F70" s="2">
        <f>E70+610</f>
        <v>18535</v>
      </c>
      <c r="G70" s="1" t="s">
        <v>6</v>
      </c>
    </row>
    <row r="71" spans="1:10" x14ac:dyDescent="0.25">
      <c r="A71" s="1" t="s">
        <v>34</v>
      </c>
      <c r="B71" s="1" t="s">
        <v>197</v>
      </c>
      <c r="C71" s="1" t="s">
        <v>6</v>
      </c>
      <c r="D71" s="1" t="s">
        <v>37</v>
      </c>
      <c r="E71" s="2">
        <v>19800</v>
      </c>
      <c r="F71" s="2">
        <f>E71+610</f>
        <v>20410</v>
      </c>
      <c r="G71" s="1" t="s">
        <v>6</v>
      </c>
    </row>
    <row r="72" spans="1:10" x14ac:dyDescent="0.25">
      <c r="A72" s="1" t="s">
        <v>34</v>
      </c>
      <c r="B72" s="1" t="s">
        <v>36</v>
      </c>
      <c r="C72" s="1" t="s">
        <v>6</v>
      </c>
      <c r="D72" s="1" t="s">
        <v>37</v>
      </c>
      <c r="E72" s="2">
        <v>22714</v>
      </c>
      <c r="F72" s="2">
        <f>E72+610</f>
        <v>23324</v>
      </c>
      <c r="G72" s="1" t="s">
        <v>6</v>
      </c>
    </row>
    <row r="73" spans="1:10" x14ac:dyDescent="0.25">
      <c r="A73" s="1" t="s">
        <v>81</v>
      </c>
      <c r="B73" s="1" t="s">
        <v>82</v>
      </c>
      <c r="C73" s="1" t="s">
        <v>6</v>
      </c>
      <c r="D73" s="1" t="s">
        <v>6</v>
      </c>
      <c r="E73" s="2">
        <v>16500</v>
      </c>
      <c r="F73" s="2">
        <f>E73+610</f>
        <v>17110</v>
      </c>
      <c r="G73" s="1" t="s">
        <v>6</v>
      </c>
    </row>
    <row r="74" spans="1:10" x14ac:dyDescent="0.25">
      <c r="A74" s="1" t="s">
        <v>81</v>
      </c>
      <c r="B74" s="1" t="s">
        <v>63</v>
      </c>
      <c r="C74" s="1" t="s">
        <v>6</v>
      </c>
      <c r="D74" s="1" t="s">
        <v>6</v>
      </c>
      <c r="E74" s="2">
        <v>18244</v>
      </c>
      <c r="F74" s="2">
        <f>E74+610</f>
        <v>18854</v>
      </c>
      <c r="G74" s="1" t="s">
        <v>6</v>
      </c>
    </row>
    <row r="75" spans="1:10" x14ac:dyDescent="0.25">
      <c r="A75" s="1" t="s">
        <v>81</v>
      </c>
      <c r="B75" s="1" t="s">
        <v>226</v>
      </c>
      <c r="C75" s="1" t="s">
        <v>61</v>
      </c>
      <c r="D75" s="1" t="s">
        <v>6</v>
      </c>
      <c r="E75" s="2">
        <v>16942</v>
      </c>
      <c r="F75" s="2">
        <f>E75+610</f>
        <v>17552</v>
      </c>
      <c r="G75" s="1" t="s">
        <v>244</v>
      </c>
    </row>
    <row r="76" spans="1:10" x14ac:dyDescent="0.25">
      <c r="A76" s="1" t="s">
        <v>81</v>
      </c>
      <c r="B76" s="1" t="s">
        <v>227</v>
      </c>
      <c r="C76" s="1" t="s">
        <v>61</v>
      </c>
      <c r="D76" s="1" t="s">
        <v>6</v>
      </c>
      <c r="E76" s="2">
        <v>16839</v>
      </c>
      <c r="F76" s="2">
        <f>E76+610</f>
        <v>17449</v>
      </c>
      <c r="G76" s="1" t="s">
        <v>245</v>
      </c>
    </row>
    <row r="77" spans="1:10" x14ac:dyDescent="0.25">
      <c r="A77" s="1" t="s">
        <v>81</v>
      </c>
      <c r="B77" s="1" t="s">
        <v>228</v>
      </c>
      <c r="C77" s="1" t="s">
        <v>61</v>
      </c>
      <c r="D77" s="1" t="s">
        <v>6</v>
      </c>
      <c r="E77" s="2">
        <v>16839</v>
      </c>
      <c r="F77" s="2">
        <f>E77+610</f>
        <v>17449</v>
      </c>
      <c r="G77" s="1" t="s">
        <v>245</v>
      </c>
    </row>
    <row r="78" spans="1:10" x14ac:dyDescent="0.25">
      <c r="A78" s="8" t="s">
        <v>81</v>
      </c>
      <c r="B78" s="8" t="s">
        <v>229</v>
      </c>
      <c r="C78" s="8" t="s">
        <v>61</v>
      </c>
      <c r="D78" s="8" t="s">
        <v>6</v>
      </c>
      <c r="E78" s="10">
        <v>16839</v>
      </c>
      <c r="F78" s="10">
        <f>E78+610</f>
        <v>17449</v>
      </c>
      <c r="G78" s="8" t="s">
        <v>245</v>
      </c>
      <c r="H78" s="9"/>
      <c r="I78" s="9"/>
      <c r="J78" s="9"/>
    </row>
    <row r="79" spans="1:10" x14ac:dyDescent="0.25">
      <c r="A79" s="8" t="s">
        <v>81</v>
      </c>
      <c r="B79" s="8" t="s">
        <v>230</v>
      </c>
      <c r="C79" s="8" t="s">
        <v>61</v>
      </c>
      <c r="D79" s="8" t="s">
        <v>6</v>
      </c>
      <c r="E79" s="10">
        <v>16839</v>
      </c>
      <c r="F79" s="10">
        <f>E79+610</f>
        <v>17449</v>
      </c>
      <c r="G79" s="8" t="s">
        <v>245</v>
      </c>
      <c r="H79" s="9"/>
      <c r="I79" s="9"/>
      <c r="J79" s="9"/>
    </row>
    <row r="80" spans="1:10" x14ac:dyDescent="0.25">
      <c r="A80" s="8" t="s">
        <v>81</v>
      </c>
      <c r="B80" s="8" t="s">
        <v>234</v>
      </c>
      <c r="C80" s="8" t="s">
        <v>6</v>
      </c>
      <c r="D80" s="8" t="s">
        <v>235</v>
      </c>
      <c r="E80" s="10">
        <v>16800</v>
      </c>
      <c r="F80" s="10">
        <f>E80+610</f>
        <v>17410</v>
      </c>
      <c r="G80" s="8" t="s">
        <v>6</v>
      </c>
      <c r="H80" s="9"/>
      <c r="I80" s="9"/>
      <c r="J80" s="9"/>
    </row>
    <row r="81" spans="1:7" x14ac:dyDescent="0.25">
      <c r="A81" s="1" t="s">
        <v>81</v>
      </c>
      <c r="B81" s="1" t="s">
        <v>60</v>
      </c>
      <c r="C81" s="1" t="s">
        <v>61</v>
      </c>
      <c r="D81" s="1" t="s">
        <v>6</v>
      </c>
      <c r="E81" s="2">
        <v>18074</v>
      </c>
      <c r="F81" s="2">
        <f>E81+610</f>
        <v>18684</v>
      </c>
      <c r="G81" s="1">
        <v>826.66</v>
      </c>
    </row>
    <row r="82" spans="1:7" x14ac:dyDescent="0.25">
      <c r="A82" s="1" t="s">
        <v>81</v>
      </c>
      <c r="B82" s="1" t="s">
        <v>199</v>
      </c>
      <c r="C82" s="1" t="s">
        <v>6</v>
      </c>
      <c r="D82" s="1" t="s">
        <v>7</v>
      </c>
      <c r="E82" s="2">
        <v>21284</v>
      </c>
      <c r="F82" s="2">
        <f>E82+610</f>
        <v>21894</v>
      </c>
      <c r="G82" s="1" t="s">
        <v>6</v>
      </c>
    </row>
    <row r="83" spans="1:7" x14ac:dyDescent="0.25">
      <c r="A83" s="1" t="s">
        <v>81</v>
      </c>
      <c r="B83" s="1" t="s">
        <v>224</v>
      </c>
      <c r="C83" s="1" t="s">
        <v>6</v>
      </c>
      <c r="D83" s="1" t="s">
        <v>6</v>
      </c>
      <c r="E83" s="2">
        <v>17542</v>
      </c>
      <c r="F83" s="2">
        <f>E83+610</f>
        <v>18152</v>
      </c>
      <c r="G83" s="1" t="s">
        <v>6</v>
      </c>
    </row>
    <row r="84" spans="1:7" x14ac:dyDescent="0.25">
      <c r="A84" s="1" t="s">
        <v>81</v>
      </c>
      <c r="B84" s="1" t="s">
        <v>225</v>
      </c>
      <c r="C84" s="1" t="s">
        <v>6</v>
      </c>
      <c r="D84" s="1" t="s">
        <v>6</v>
      </c>
      <c r="E84" s="2">
        <v>17542</v>
      </c>
      <c r="F84" s="2">
        <f>E84+610</f>
        <v>18152</v>
      </c>
      <c r="G84" s="1" t="s">
        <v>6</v>
      </c>
    </row>
    <row r="85" spans="1:7" x14ac:dyDescent="0.25">
      <c r="A85" s="1" t="s">
        <v>81</v>
      </c>
      <c r="B85" s="1" t="s">
        <v>152</v>
      </c>
      <c r="C85" s="1" t="s">
        <v>6</v>
      </c>
      <c r="D85" s="1" t="s">
        <v>6</v>
      </c>
      <c r="E85" s="2">
        <v>16540</v>
      </c>
      <c r="F85" s="2">
        <f>E85+610</f>
        <v>17150</v>
      </c>
      <c r="G85" s="1" t="s">
        <v>6</v>
      </c>
    </row>
    <row r="86" spans="1:7" x14ac:dyDescent="0.25">
      <c r="A86" s="1" t="s">
        <v>47</v>
      </c>
      <c r="B86" s="1" t="s">
        <v>25</v>
      </c>
      <c r="C86" s="1" t="s">
        <v>6</v>
      </c>
      <c r="D86" s="1" t="s">
        <v>48</v>
      </c>
      <c r="E86" s="2">
        <v>20560</v>
      </c>
      <c r="F86" s="2">
        <f>E86+610</f>
        <v>21170</v>
      </c>
      <c r="G86" s="1" t="s">
        <v>6</v>
      </c>
    </row>
    <row r="87" spans="1:7" x14ac:dyDescent="0.25">
      <c r="A87" s="1" t="s">
        <v>47</v>
      </c>
      <c r="B87" s="1" t="s">
        <v>147</v>
      </c>
      <c r="C87" s="1" t="s">
        <v>6</v>
      </c>
      <c r="D87" s="1" t="s">
        <v>148</v>
      </c>
      <c r="E87" s="2">
        <v>19390</v>
      </c>
      <c r="F87" s="2">
        <f>E87+610</f>
        <v>20000</v>
      </c>
      <c r="G87" s="1" t="s">
        <v>6</v>
      </c>
    </row>
    <row r="88" spans="1:7" x14ac:dyDescent="0.25">
      <c r="A88" s="1" t="s">
        <v>47</v>
      </c>
      <c r="B88" s="1" t="s">
        <v>63</v>
      </c>
      <c r="C88" s="1" t="s">
        <v>104</v>
      </c>
      <c r="D88" s="1" t="s">
        <v>48</v>
      </c>
      <c r="E88" s="2">
        <v>19340</v>
      </c>
      <c r="F88" s="2">
        <f>E88+610</f>
        <v>19950</v>
      </c>
      <c r="G88" s="1" t="s">
        <v>6</v>
      </c>
    </row>
    <row r="89" spans="1:7" x14ac:dyDescent="0.25">
      <c r="A89" s="1" t="s">
        <v>47</v>
      </c>
      <c r="B89" s="1" t="s">
        <v>63</v>
      </c>
      <c r="C89" s="1" t="s">
        <v>100</v>
      </c>
      <c r="D89" s="1" t="s">
        <v>48</v>
      </c>
      <c r="E89" s="2">
        <v>18998</v>
      </c>
      <c r="F89" s="2">
        <f>E89+610</f>
        <v>19608</v>
      </c>
      <c r="G89" s="1" t="s">
        <v>6</v>
      </c>
    </row>
    <row r="90" spans="1:7" x14ac:dyDescent="0.25">
      <c r="A90" s="1" t="s">
        <v>47</v>
      </c>
      <c r="B90" s="1" t="s">
        <v>63</v>
      </c>
      <c r="C90" s="1" t="s">
        <v>119</v>
      </c>
      <c r="D90" s="1" t="s">
        <v>48</v>
      </c>
      <c r="E90" s="2">
        <v>18750</v>
      </c>
      <c r="F90" s="2">
        <f>E90+610</f>
        <v>19360</v>
      </c>
      <c r="G90" s="1" t="s">
        <v>6</v>
      </c>
    </row>
    <row r="91" spans="1:7" x14ac:dyDescent="0.25">
      <c r="A91" s="1" t="s">
        <v>47</v>
      </c>
      <c r="B91" s="1" t="s">
        <v>10</v>
      </c>
      <c r="C91" s="1" t="s">
        <v>6</v>
      </c>
      <c r="D91" s="1" t="s">
        <v>6</v>
      </c>
      <c r="E91" s="2">
        <v>17100</v>
      </c>
      <c r="F91" s="2">
        <f>E91+610</f>
        <v>17710</v>
      </c>
      <c r="G91" s="1" t="s">
        <v>78</v>
      </c>
    </row>
    <row r="92" spans="1:7" x14ac:dyDescent="0.25">
      <c r="A92" s="1" t="s">
        <v>47</v>
      </c>
      <c r="B92" s="1" t="s">
        <v>149</v>
      </c>
      <c r="C92" s="1" t="s">
        <v>6</v>
      </c>
      <c r="D92" s="1" t="s">
        <v>48</v>
      </c>
      <c r="E92" s="2">
        <v>19390</v>
      </c>
      <c r="F92" s="2">
        <f>E92+610</f>
        <v>20000</v>
      </c>
      <c r="G92" s="1" t="s">
        <v>6</v>
      </c>
    </row>
    <row r="93" spans="1:7" x14ac:dyDescent="0.25">
      <c r="A93" s="1" t="s">
        <v>47</v>
      </c>
      <c r="B93" s="1" t="s">
        <v>39</v>
      </c>
      <c r="C93" s="1" t="s">
        <v>6</v>
      </c>
      <c r="D93" s="1" t="s">
        <v>48</v>
      </c>
      <c r="E93" s="2">
        <v>19049</v>
      </c>
      <c r="F93" s="2">
        <f>E93+610</f>
        <v>19659</v>
      </c>
      <c r="G93" s="1" t="s">
        <v>6</v>
      </c>
    </row>
    <row r="94" spans="1:7" x14ac:dyDescent="0.25">
      <c r="A94" s="1" t="s">
        <v>47</v>
      </c>
      <c r="B94" s="1" t="s">
        <v>113</v>
      </c>
      <c r="C94" s="1" t="s">
        <v>6</v>
      </c>
      <c r="D94" s="1" t="s">
        <v>48</v>
      </c>
      <c r="E94" s="2">
        <v>18535</v>
      </c>
      <c r="F94" s="2">
        <f>E94+610</f>
        <v>19145</v>
      </c>
      <c r="G94" s="1" t="s">
        <v>6</v>
      </c>
    </row>
    <row r="95" spans="1:7" x14ac:dyDescent="0.25">
      <c r="A95" s="1" t="s">
        <v>47</v>
      </c>
      <c r="B95" s="1" t="s">
        <v>150</v>
      </c>
      <c r="C95" s="1" t="s">
        <v>6</v>
      </c>
      <c r="D95" s="1" t="s">
        <v>48</v>
      </c>
      <c r="E95" s="2">
        <v>18075</v>
      </c>
      <c r="F95" s="2">
        <f>E95+610</f>
        <v>18685</v>
      </c>
      <c r="G95" s="1" t="s">
        <v>6</v>
      </c>
    </row>
    <row r="96" spans="1:7" x14ac:dyDescent="0.25">
      <c r="A96" s="1" t="s">
        <v>47</v>
      </c>
      <c r="B96" s="1" t="s">
        <v>151</v>
      </c>
      <c r="C96" s="1" t="s">
        <v>6</v>
      </c>
      <c r="D96" s="1" t="s">
        <v>48</v>
      </c>
      <c r="E96" s="2">
        <v>18075</v>
      </c>
      <c r="F96" s="2">
        <f>E96+610</f>
        <v>18685</v>
      </c>
      <c r="G96" s="1" t="s">
        <v>6</v>
      </c>
    </row>
    <row r="97" spans="1:10" x14ac:dyDescent="0.25">
      <c r="A97" s="1" t="s">
        <v>47</v>
      </c>
      <c r="B97" s="1" t="s">
        <v>152</v>
      </c>
      <c r="C97" s="1" t="s">
        <v>6</v>
      </c>
      <c r="D97" s="1" t="s">
        <v>48</v>
      </c>
      <c r="E97" s="2">
        <v>17880</v>
      </c>
      <c r="F97" s="2">
        <f>E97+610</f>
        <v>18490</v>
      </c>
      <c r="G97" s="1" t="s">
        <v>6</v>
      </c>
    </row>
    <row r="98" spans="1:10" x14ac:dyDescent="0.25">
      <c r="A98" s="1" t="s">
        <v>47</v>
      </c>
      <c r="B98" s="1" t="s">
        <v>82</v>
      </c>
      <c r="C98" s="1" t="s">
        <v>6</v>
      </c>
      <c r="D98" s="1" t="s">
        <v>48</v>
      </c>
      <c r="E98" s="2">
        <v>17880</v>
      </c>
      <c r="F98" s="2">
        <f>E98+610</f>
        <v>18490</v>
      </c>
      <c r="G98" s="1" t="s">
        <v>6</v>
      </c>
    </row>
    <row r="99" spans="1:10" x14ac:dyDescent="0.25">
      <c r="A99" s="1" t="s">
        <v>47</v>
      </c>
      <c r="B99" s="1" t="s">
        <v>153</v>
      </c>
      <c r="C99" s="1" t="s">
        <v>6</v>
      </c>
      <c r="D99" s="1" t="s">
        <v>48</v>
      </c>
      <c r="E99" s="2">
        <v>17695</v>
      </c>
      <c r="F99" s="2">
        <f>E99+610</f>
        <v>18305</v>
      </c>
      <c r="G99" s="1" t="s">
        <v>6</v>
      </c>
    </row>
    <row r="100" spans="1:10" s="13" customFormat="1" x14ac:dyDescent="0.25">
      <c r="A100" s="11" t="s">
        <v>62</v>
      </c>
      <c r="B100" s="11" t="s">
        <v>63</v>
      </c>
      <c r="C100" s="11" t="s">
        <v>64</v>
      </c>
      <c r="D100" s="11" t="s">
        <v>6</v>
      </c>
      <c r="E100" s="11" t="s">
        <v>6</v>
      </c>
      <c r="F100" s="12" t="str">
        <f>E100</f>
        <v>-</v>
      </c>
      <c r="I100" s="11">
        <v>90.61</v>
      </c>
    </row>
    <row r="101" spans="1:10" x14ac:dyDescent="0.25">
      <c r="A101" s="1" t="s">
        <v>62</v>
      </c>
      <c r="B101" s="1" t="s">
        <v>77</v>
      </c>
      <c r="C101" s="1" t="s">
        <v>6</v>
      </c>
      <c r="D101" s="1" t="s">
        <v>6</v>
      </c>
      <c r="E101" s="2">
        <v>17100</v>
      </c>
      <c r="F101" s="2">
        <f>E101+610</f>
        <v>17710</v>
      </c>
      <c r="I101" s="1">
        <v>87.69</v>
      </c>
    </row>
    <row r="102" spans="1:10" x14ac:dyDescent="0.25">
      <c r="A102" s="1" t="s">
        <v>62</v>
      </c>
      <c r="B102" s="1" t="s">
        <v>83</v>
      </c>
      <c r="C102" s="1" t="s">
        <v>6</v>
      </c>
      <c r="D102" s="1" t="s">
        <v>6</v>
      </c>
      <c r="E102" s="2">
        <v>16500</v>
      </c>
      <c r="F102" s="2">
        <f>E102+610</f>
        <v>17110</v>
      </c>
      <c r="I102" s="1">
        <v>84.62</v>
      </c>
    </row>
    <row r="103" spans="1:10" x14ac:dyDescent="0.25">
      <c r="A103" s="8" t="s">
        <v>62</v>
      </c>
      <c r="B103" s="8" t="s">
        <v>236</v>
      </c>
      <c r="C103" s="8" t="s">
        <v>6</v>
      </c>
      <c r="D103" s="8" t="s">
        <v>6</v>
      </c>
      <c r="E103" s="10">
        <v>16745</v>
      </c>
      <c r="F103" s="10">
        <f>E103+610</f>
        <v>17355</v>
      </c>
      <c r="G103" s="9"/>
      <c r="H103" s="9"/>
      <c r="I103" s="8">
        <v>85.87</v>
      </c>
      <c r="J103" s="9"/>
    </row>
    <row r="104" spans="1:10" x14ac:dyDescent="0.25">
      <c r="A104" t="s">
        <v>62</v>
      </c>
      <c r="B104" s="1" t="s">
        <v>63</v>
      </c>
      <c r="C104" s="1" t="s">
        <v>6</v>
      </c>
      <c r="D104" s="1" t="s">
        <v>6</v>
      </c>
      <c r="E104" s="2">
        <v>17669</v>
      </c>
      <c r="F104" s="2">
        <f>E104+610</f>
        <v>18279</v>
      </c>
      <c r="G104" s="1" t="s">
        <v>65</v>
      </c>
    </row>
    <row r="105" spans="1:10" x14ac:dyDescent="0.25">
      <c r="A105" t="s">
        <v>62</v>
      </c>
      <c r="B105" s="1" t="s">
        <v>238</v>
      </c>
      <c r="C105" s="1" t="s">
        <v>6</v>
      </c>
      <c r="D105" s="1" t="s">
        <v>6</v>
      </c>
      <c r="E105" s="2">
        <v>17100</v>
      </c>
      <c r="F105" s="2">
        <f>E105+610</f>
        <v>17710</v>
      </c>
      <c r="G105" s="1" t="s">
        <v>239</v>
      </c>
    </row>
    <row r="106" spans="1:10" x14ac:dyDescent="0.25">
      <c r="A106" s="11" t="s">
        <v>62</v>
      </c>
      <c r="B106" s="1" t="s">
        <v>237</v>
      </c>
      <c r="C106" s="1" t="s">
        <v>6</v>
      </c>
      <c r="D106" s="1" t="s">
        <v>6</v>
      </c>
      <c r="E106" s="2">
        <v>17095</v>
      </c>
      <c r="F106" s="2">
        <f>E106+610</f>
        <v>17705</v>
      </c>
      <c r="I106" s="1">
        <v>87.67</v>
      </c>
    </row>
    <row r="107" spans="1:10" x14ac:dyDescent="0.25">
      <c r="A107" s="8" t="s">
        <v>110</v>
      </c>
      <c r="B107" s="8" t="s">
        <v>111</v>
      </c>
      <c r="C107" s="8" t="s">
        <v>6</v>
      </c>
      <c r="D107" s="8" t="s">
        <v>112</v>
      </c>
      <c r="E107" s="10">
        <v>19222</v>
      </c>
      <c r="F107" s="10">
        <f>E107+610</f>
        <v>19832</v>
      </c>
      <c r="G107" s="8" t="s">
        <v>6</v>
      </c>
      <c r="H107" s="9"/>
      <c r="I107" s="9"/>
      <c r="J107" s="9"/>
    </row>
    <row r="108" spans="1:10" x14ac:dyDescent="0.25">
      <c r="A108" s="8" t="s">
        <v>110</v>
      </c>
      <c r="B108" s="1" t="s">
        <v>39</v>
      </c>
      <c r="C108" s="1" t="s">
        <v>6</v>
      </c>
      <c r="D108" s="1" t="s">
        <v>112</v>
      </c>
      <c r="E108" s="2">
        <v>18449</v>
      </c>
      <c r="F108" s="2">
        <f>E108+610</f>
        <v>19059</v>
      </c>
      <c r="G108" s="1" t="s">
        <v>6</v>
      </c>
    </row>
    <row r="109" spans="1:10" x14ac:dyDescent="0.25">
      <c r="A109" s="8" t="s">
        <v>110</v>
      </c>
      <c r="B109" s="1" t="s">
        <v>113</v>
      </c>
      <c r="C109" s="1" t="s">
        <v>6</v>
      </c>
      <c r="D109" s="1" t="s">
        <v>112</v>
      </c>
      <c r="E109" s="2">
        <v>17995</v>
      </c>
      <c r="F109" s="2">
        <f>E109+610</f>
        <v>18605</v>
      </c>
      <c r="G109" s="1" t="s">
        <v>6</v>
      </c>
    </row>
    <row r="110" spans="1:10" x14ac:dyDescent="0.25">
      <c r="A110" s="8" t="s">
        <v>110</v>
      </c>
      <c r="B110" s="1" t="s">
        <v>114</v>
      </c>
      <c r="C110" s="1" t="s">
        <v>115</v>
      </c>
      <c r="D110" s="1" t="s">
        <v>116</v>
      </c>
      <c r="E110" s="2">
        <v>20190</v>
      </c>
      <c r="F110" s="2">
        <f>E110+610</f>
        <v>20800</v>
      </c>
      <c r="G110" s="1" t="s">
        <v>6</v>
      </c>
    </row>
    <row r="111" spans="1:10" x14ac:dyDescent="0.25">
      <c r="A111" s="8" t="s">
        <v>110</v>
      </c>
      <c r="B111" s="1" t="s">
        <v>117</v>
      </c>
      <c r="C111" s="1" t="s">
        <v>104</v>
      </c>
      <c r="D111" s="1" t="s">
        <v>112</v>
      </c>
      <c r="E111" s="2">
        <v>19624</v>
      </c>
      <c r="F111" s="2">
        <f>E111+610</f>
        <v>20234</v>
      </c>
      <c r="G111" s="1" t="s">
        <v>6</v>
      </c>
    </row>
    <row r="112" spans="1:10" x14ac:dyDescent="0.25">
      <c r="A112" s="8" t="s">
        <v>110</v>
      </c>
      <c r="B112" s="1" t="s">
        <v>117</v>
      </c>
      <c r="C112" s="1" t="s">
        <v>100</v>
      </c>
      <c r="D112" s="1" t="s">
        <v>118</v>
      </c>
      <c r="E112" s="2">
        <v>18316</v>
      </c>
      <c r="F112" s="2">
        <f>E112+610</f>
        <v>18926</v>
      </c>
      <c r="G112" s="1" t="s">
        <v>6</v>
      </c>
    </row>
    <row r="113" spans="1:10" x14ac:dyDescent="0.25">
      <c r="A113" s="8" t="s">
        <v>110</v>
      </c>
      <c r="B113" s="1" t="s">
        <v>117</v>
      </c>
      <c r="C113" s="1" t="s">
        <v>119</v>
      </c>
      <c r="D113" s="1" t="s">
        <v>120</v>
      </c>
      <c r="E113" s="2">
        <v>17007</v>
      </c>
      <c r="F113" s="2">
        <f>E113+610</f>
        <v>17617</v>
      </c>
      <c r="G113" s="1" t="s">
        <v>6</v>
      </c>
    </row>
    <row r="114" spans="1:10" x14ac:dyDescent="0.25">
      <c r="A114" s="8" t="s">
        <v>110</v>
      </c>
      <c r="B114" s="1" t="s">
        <v>121</v>
      </c>
      <c r="C114" s="1" t="s">
        <v>104</v>
      </c>
      <c r="D114" s="1" t="s">
        <v>112</v>
      </c>
      <c r="E114" s="2">
        <v>19624</v>
      </c>
      <c r="F114" s="2">
        <f>E114+610</f>
        <v>20234</v>
      </c>
      <c r="G114" s="1" t="s">
        <v>6</v>
      </c>
    </row>
    <row r="115" spans="1:10" x14ac:dyDescent="0.25">
      <c r="A115" s="8" t="s">
        <v>110</v>
      </c>
      <c r="B115" s="1" t="s">
        <v>121</v>
      </c>
      <c r="C115" s="1" t="s">
        <v>100</v>
      </c>
      <c r="D115" s="1" t="s">
        <v>118</v>
      </c>
      <c r="E115" s="2">
        <v>18316</v>
      </c>
      <c r="F115" s="2">
        <f>E115+610</f>
        <v>18926</v>
      </c>
      <c r="G115" s="1" t="s">
        <v>6</v>
      </c>
    </row>
    <row r="116" spans="1:10" x14ac:dyDescent="0.25">
      <c r="A116" s="8" t="s">
        <v>110</v>
      </c>
      <c r="B116" s="1" t="s">
        <v>122</v>
      </c>
      <c r="C116" s="1" t="s">
        <v>6</v>
      </c>
      <c r="D116" s="1" t="s">
        <v>6</v>
      </c>
      <c r="E116" s="2">
        <v>18479</v>
      </c>
      <c r="F116" s="2">
        <f>E116+610</f>
        <v>19089</v>
      </c>
      <c r="G116" s="1" t="s">
        <v>6</v>
      </c>
    </row>
    <row r="117" spans="1:10" x14ac:dyDescent="0.25">
      <c r="A117" s="8" t="s">
        <v>110</v>
      </c>
      <c r="B117" s="1" t="s">
        <v>123</v>
      </c>
      <c r="C117" s="1" t="s">
        <v>6</v>
      </c>
      <c r="D117" s="1" t="s">
        <v>6</v>
      </c>
      <c r="E117" s="2">
        <v>17975</v>
      </c>
      <c r="F117" s="2">
        <f>E117+610</f>
        <v>18585</v>
      </c>
      <c r="G117" s="1" t="s">
        <v>6</v>
      </c>
    </row>
    <row r="118" spans="1:10" x14ac:dyDescent="0.25">
      <c r="A118" s="8" t="s">
        <v>110</v>
      </c>
      <c r="B118" s="1" t="s">
        <v>124</v>
      </c>
      <c r="C118" s="1" t="s">
        <v>6</v>
      </c>
      <c r="D118" s="1" t="s">
        <v>6</v>
      </c>
      <c r="E118" s="2">
        <v>16812</v>
      </c>
      <c r="F118" s="2">
        <f>E118+610</f>
        <v>17422</v>
      </c>
      <c r="G118" s="1" t="s">
        <v>6</v>
      </c>
    </row>
    <row r="119" spans="1:10" x14ac:dyDescent="0.25">
      <c r="A119" s="8" t="s">
        <v>110</v>
      </c>
      <c r="B119" s="1" t="s">
        <v>125</v>
      </c>
      <c r="C119" s="1" t="s">
        <v>6</v>
      </c>
      <c r="D119" s="1" t="s">
        <v>126</v>
      </c>
      <c r="E119" s="2">
        <v>16500</v>
      </c>
      <c r="F119" s="2">
        <f>E119+610</f>
        <v>17110</v>
      </c>
      <c r="G119" s="1" t="s">
        <v>6</v>
      </c>
    </row>
    <row r="120" spans="1:10" x14ac:dyDescent="0.25">
      <c r="A120" s="8" t="s">
        <v>127</v>
      </c>
      <c r="B120" s="8" t="s">
        <v>128</v>
      </c>
      <c r="C120" s="8" t="s">
        <v>6</v>
      </c>
      <c r="D120" s="8" t="s">
        <v>46</v>
      </c>
      <c r="E120" s="10">
        <v>21700</v>
      </c>
      <c r="F120" s="10">
        <f>E120+610</f>
        <v>22310</v>
      </c>
      <c r="G120" s="8" t="s">
        <v>6</v>
      </c>
      <c r="H120" s="9"/>
      <c r="I120" s="9"/>
      <c r="J120" s="9"/>
    </row>
    <row r="121" spans="1:10" x14ac:dyDescent="0.25">
      <c r="A121" s="8" t="s">
        <v>134</v>
      </c>
      <c r="B121" s="8" t="s">
        <v>135</v>
      </c>
      <c r="C121" s="8" t="s">
        <v>6</v>
      </c>
      <c r="D121" s="8" t="s">
        <v>46</v>
      </c>
      <c r="E121" s="10">
        <v>17487</v>
      </c>
      <c r="F121" s="10">
        <f>E121+610</f>
        <v>18097</v>
      </c>
      <c r="G121" s="8" t="s">
        <v>6</v>
      </c>
      <c r="H121" s="9"/>
      <c r="I121" s="9"/>
      <c r="J121" s="9"/>
    </row>
    <row r="122" spans="1:10" x14ac:dyDescent="0.25">
      <c r="A122" s="8" t="s">
        <v>75</v>
      </c>
      <c r="B122" s="8" t="s">
        <v>76</v>
      </c>
      <c r="C122" s="8" t="s">
        <v>6</v>
      </c>
      <c r="D122" s="8" t="s">
        <v>6</v>
      </c>
      <c r="E122" s="10">
        <v>18000</v>
      </c>
      <c r="F122" s="10">
        <f>E122+610</f>
        <v>18610</v>
      </c>
      <c r="G122" s="8" t="s">
        <v>6</v>
      </c>
      <c r="H122" s="9"/>
      <c r="I122" s="9"/>
      <c r="J122" s="9"/>
    </row>
    <row r="123" spans="1:10" x14ac:dyDescent="0.25">
      <c r="A123" s="1" t="s">
        <v>20</v>
      </c>
      <c r="B123" s="1" t="s">
        <v>21</v>
      </c>
      <c r="C123" s="1" t="s">
        <v>22</v>
      </c>
      <c r="D123" s="1" t="s">
        <v>6</v>
      </c>
      <c r="E123" s="2">
        <v>25000</v>
      </c>
      <c r="F123" s="2">
        <f>E123+610</f>
        <v>25610</v>
      </c>
      <c r="G123" s="1" t="s">
        <v>6</v>
      </c>
    </row>
    <row r="124" spans="1:10" x14ac:dyDescent="0.25">
      <c r="A124" s="1" t="s">
        <v>250</v>
      </c>
      <c r="B124" s="1" t="s">
        <v>191</v>
      </c>
      <c r="C124" s="1" t="s">
        <v>6</v>
      </c>
      <c r="D124" s="1" t="s">
        <v>6</v>
      </c>
      <c r="E124" s="1" t="s">
        <v>6</v>
      </c>
      <c r="F124" s="2"/>
      <c r="G124" s="1">
        <v>670.24</v>
      </c>
    </row>
    <row r="125" spans="1:10" x14ac:dyDescent="0.25">
      <c r="A125" s="1" t="s">
        <v>138</v>
      </c>
      <c r="B125" s="1" t="s">
        <v>139</v>
      </c>
      <c r="C125" s="1" t="s">
        <v>6</v>
      </c>
      <c r="D125" s="1" t="s">
        <v>46</v>
      </c>
      <c r="E125" s="2">
        <v>19734</v>
      </c>
      <c r="F125" s="2">
        <f>E125+610</f>
        <v>20344</v>
      </c>
      <c r="G125" s="1" t="s">
        <v>6</v>
      </c>
    </row>
    <row r="126" spans="1:10" x14ac:dyDescent="0.25">
      <c r="A126" s="1" t="s">
        <v>138</v>
      </c>
      <c r="B126" s="1" t="s">
        <v>129</v>
      </c>
      <c r="C126" s="1" t="s">
        <v>6</v>
      </c>
      <c r="D126" s="1" t="s">
        <v>46</v>
      </c>
      <c r="E126" s="2">
        <v>20530</v>
      </c>
      <c r="F126" s="2">
        <f>E126+610</f>
        <v>21140</v>
      </c>
      <c r="G126" s="1" t="s">
        <v>6</v>
      </c>
    </row>
    <row r="127" spans="1:10" x14ac:dyDescent="0.25">
      <c r="A127" s="1" t="s">
        <v>138</v>
      </c>
      <c r="B127" s="1" t="s">
        <v>130</v>
      </c>
      <c r="C127" s="1" t="s">
        <v>6</v>
      </c>
      <c r="D127" s="1" t="s">
        <v>46</v>
      </c>
      <c r="E127" s="2">
        <v>19653</v>
      </c>
      <c r="F127" s="2">
        <f>E127+610</f>
        <v>20263</v>
      </c>
      <c r="G127" s="1" t="s">
        <v>6</v>
      </c>
    </row>
    <row r="128" spans="1:10" x14ac:dyDescent="0.25">
      <c r="A128" s="1" t="s">
        <v>138</v>
      </c>
      <c r="B128" s="1" t="s">
        <v>131</v>
      </c>
      <c r="C128" s="1" t="s">
        <v>6</v>
      </c>
      <c r="D128" s="1" t="s">
        <v>46</v>
      </c>
      <c r="E128" s="2">
        <v>19224</v>
      </c>
      <c r="F128" s="2">
        <f>E128+610</f>
        <v>19834</v>
      </c>
      <c r="G128" s="1" t="s">
        <v>6</v>
      </c>
    </row>
    <row r="129" spans="1:7" x14ac:dyDescent="0.25">
      <c r="A129" s="1" t="s">
        <v>138</v>
      </c>
      <c r="B129" s="1" t="s">
        <v>132</v>
      </c>
      <c r="C129" s="1" t="s">
        <v>6</v>
      </c>
      <c r="D129" s="1" t="s">
        <v>46</v>
      </c>
      <c r="E129" s="2">
        <v>18859</v>
      </c>
      <c r="F129" s="2">
        <f>E129+610</f>
        <v>19469</v>
      </c>
      <c r="G129" s="1" t="s">
        <v>6</v>
      </c>
    </row>
    <row r="130" spans="1:7" x14ac:dyDescent="0.25">
      <c r="A130" s="1" t="s">
        <v>138</v>
      </c>
      <c r="B130" s="1" t="s">
        <v>133</v>
      </c>
      <c r="C130" s="1" t="s">
        <v>6</v>
      </c>
      <c r="D130" s="1" t="s">
        <v>46</v>
      </c>
      <c r="E130" s="2">
        <v>18859</v>
      </c>
      <c r="F130" s="2">
        <f>E130+610</f>
        <v>19469</v>
      </c>
      <c r="G130" s="1" t="s">
        <v>6</v>
      </c>
    </row>
    <row r="131" spans="1:7" x14ac:dyDescent="0.25">
      <c r="A131" s="1" t="s">
        <v>138</v>
      </c>
      <c r="B131" s="1" t="s">
        <v>136</v>
      </c>
      <c r="C131" s="1" t="s">
        <v>6</v>
      </c>
      <c r="D131" s="1" t="s">
        <v>46</v>
      </c>
      <c r="E131" s="2">
        <v>17152</v>
      </c>
      <c r="F131" s="2">
        <f>E131+610</f>
        <v>17762</v>
      </c>
      <c r="G131" s="1" t="s">
        <v>6</v>
      </c>
    </row>
    <row r="132" spans="1:7" x14ac:dyDescent="0.25">
      <c r="A132" s="1" t="s">
        <v>138</v>
      </c>
      <c r="B132" s="1" t="s">
        <v>137</v>
      </c>
      <c r="C132" s="1" t="s">
        <v>6</v>
      </c>
      <c r="D132" s="1" t="s">
        <v>74</v>
      </c>
      <c r="E132" s="2">
        <v>16873</v>
      </c>
      <c r="F132" s="2">
        <f>E132+610</f>
        <v>17483</v>
      </c>
      <c r="G132" s="1" t="s">
        <v>6</v>
      </c>
    </row>
    <row r="133" spans="1:7" x14ac:dyDescent="0.25">
      <c r="A133" s="1" t="s">
        <v>138</v>
      </c>
      <c r="B133" s="1" t="s">
        <v>39</v>
      </c>
      <c r="C133" s="1" t="s">
        <v>6</v>
      </c>
      <c r="D133" s="1" t="s">
        <v>46</v>
      </c>
      <c r="E133" s="2">
        <v>19307</v>
      </c>
      <c r="F133" s="2">
        <f>E133+610</f>
        <v>19917</v>
      </c>
      <c r="G133" s="1" t="s">
        <v>6</v>
      </c>
    </row>
    <row r="134" spans="1:7" x14ac:dyDescent="0.25">
      <c r="A134" s="1" t="s">
        <v>138</v>
      </c>
      <c r="B134" s="1" t="s">
        <v>131</v>
      </c>
      <c r="C134" s="1" t="s">
        <v>6</v>
      </c>
      <c r="D134" s="1" t="s">
        <v>46</v>
      </c>
      <c r="E134" s="2">
        <v>18953</v>
      </c>
      <c r="F134" s="2">
        <f>E134+610</f>
        <v>19563</v>
      </c>
      <c r="G134" s="1" t="s">
        <v>6</v>
      </c>
    </row>
    <row r="135" spans="1:7" x14ac:dyDescent="0.25">
      <c r="A135" s="1" t="s">
        <v>138</v>
      </c>
      <c r="B135" s="1" t="s">
        <v>113</v>
      </c>
      <c r="C135" s="1" t="s">
        <v>6</v>
      </c>
      <c r="D135" s="1" t="s">
        <v>46</v>
      </c>
      <c r="E135" s="2">
        <v>18148</v>
      </c>
      <c r="F135" s="2">
        <f>E135+610</f>
        <v>18758</v>
      </c>
      <c r="G135" s="1" t="s">
        <v>6</v>
      </c>
    </row>
    <row r="136" spans="1:7" x14ac:dyDescent="0.25">
      <c r="A136" s="1" t="s">
        <v>138</v>
      </c>
      <c r="B136" s="1" t="s">
        <v>143</v>
      </c>
      <c r="C136" s="1" t="s">
        <v>104</v>
      </c>
      <c r="D136" s="1" t="s">
        <v>74</v>
      </c>
      <c r="E136" s="2">
        <v>18266</v>
      </c>
      <c r="F136" s="2">
        <f>E136+610</f>
        <v>18876</v>
      </c>
      <c r="G136" s="1" t="s">
        <v>6</v>
      </c>
    </row>
    <row r="137" spans="1:7" x14ac:dyDescent="0.25">
      <c r="A137" s="1" t="s">
        <v>138</v>
      </c>
      <c r="B137" s="1" t="s">
        <v>143</v>
      </c>
      <c r="C137" s="1" t="s">
        <v>100</v>
      </c>
      <c r="D137" s="1" t="s">
        <v>74</v>
      </c>
      <c r="E137" s="2">
        <v>17644</v>
      </c>
      <c r="F137" s="2">
        <f>E137+610</f>
        <v>18254</v>
      </c>
      <c r="G137" s="1" t="s">
        <v>6</v>
      </c>
    </row>
    <row r="138" spans="1:7" x14ac:dyDescent="0.25">
      <c r="A138" s="1" t="s">
        <v>138</v>
      </c>
      <c r="B138" s="1" t="s">
        <v>143</v>
      </c>
      <c r="C138" s="1" t="s">
        <v>119</v>
      </c>
      <c r="D138" s="1" t="s">
        <v>74</v>
      </c>
      <c r="E138" s="2">
        <v>16964</v>
      </c>
      <c r="F138" s="2">
        <f>E138+610</f>
        <v>17574</v>
      </c>
      <c r="G138" s="1" t="s">
        <v>6</v>
      </c>
    </row>
    <row r="139" spans="1:7" x14ac:dyDescent="0.25">
      <c r="A139" s="1" t="s">
        <v>138</v>
      </c>
      <c r="B139" s="1" t="s">
        <v>125</v>
      </c>
      <c r="C139" s="1" t="s">
        <v>6</v>
      </c>
      <c r="D139" s="1" t="s">
        <v>126</v>
      </c>
      <c r="E139" s="2">
        <v>16500</v>
      </c>
      <c r="F139" s="2">
        <f>E139+610</f>
        <v>17110</v>
      </c>
      <c r="G139" s="1" t="s">
        <v>6</v>
      </c>
    </row>
    <row r="140" spans="1:7" x14ac:dyDescent="0.25">
      <c r="A140" s="1" t="s">
        <v>138</v>
      </c>
      <c r="B140" s="1" t="s">
        <v>63</v>
      </c>
      <c r="C140" s="1" t="s">
        <v>104</v>
      </c>
      <c r="D140" s="1" t="s">
        <v>74</v>
      </c>
      <c r="E140" s="2">
        <v>18248</v>
      </c>
      <c r="F140" s="2">
        <f>E140+610</f>
        <v>18858</v>
      </c>
      <c r="G140" s="1" t="s">
        <v>6</v>
      </c>
    </row>
    <row r="141" spans="1:7" x14ac:dyDescent="0.25">
      <c r="A141" s="1" t="s">
        <v>138</v>
      </c>
      <c r="B141" s="1" t="s">
        <v>63</v>
      </c>
      <c r="C141" s="1" t="s">
        <v>100</v>
      </c>
      <c r="D141" s="1" t="s">
        <v>74</v>
      </c>
      <c r="E141" s="2">
        <v>17936</v>
      </c>
      <c r="F141" s="2">
        <f>E141+610</f>
        <v>18546</v>
      </c>
      <c r="G141" s="1" t="s">
        <v>6</v>
      </c>
    </row>
    <row r="142" spans="1:7" x14ac:dyDescent="0.25">
      <c r="A142" s="1" t="s">
        <v>138</v>
      </c>
      <c r="B142" s="1" t="s">
        <v>63</v>
      </c>
      <c r="C142" s="1" t="s">
        <v>144</v>
      </c>
      <c r="D142" s="1" t="s">
        <v>74</v>
      </c>
      <c r="E142" s="2">
        <v>17693</v>
      </c>
      <c r="F142" s="2">
        <f>E142+610</f>
        <v>18303</v>
      </c>
      <c r="G142" s="1" t="s">
        <v>6</v>
      </c>
    </row>
    <row r="143" spans="1:7" x14ac:dyDescent="0.25">
      <c r="A143" s="1" t="s">
        <v>138</v>
      </c>
      <c r="B143" s="1" t="s">
        <v>145</v>
      </c>
      <c r="C143" s="1" t="s">
        <v>6</v>
      </c>
      <c r="D143" s="1" t="s">
        <v>37</v>
      </c>
      <c r="E143" s="2">
        <v>16909</v>
      </c>
      <c r="F143" s="2">
        <f>E143+610</f>
        <v>17519</v>
      </c>
      <c r="G143" s="1" t="s">
        <v>6</v>
      </c>
    </row>
    <row r="144" spans="1:7" x14ac:dyDescent="0.25">
      <c r="A144" s="1" t="s">
        <v>138</v>
      </c>
      <c r="B144" s="1" t="s">
        <v>146</v>
      </c>
      <c r="C144" s="1" t="s">
        <v>6</v>
      </c>
      <c r="D144" s="1" t="s">
        <v>37</v>
      </c>
      <c r="E144" s="2">
        <v>16500</v>
      </c>
      <c r="F144" s="2">
        <f>E144+610</f>
        <v>17110</v>
      </c>
      <c r="G144" s="1" t="s">
        <v>6</v>
      </c>
    </row>
    <row r="145" spans="1:10" x14ac:dyDescent="0.25">
      <c r="A145" s="1" t="s">
        <v>140</v>
      </c>
      <c r="B145" s="1" t="s">
        <v>141</v>
      </c>
      <c r="C145" s="1" t="s">
        <v>142</v>
      </c>
      <c r="D145" s="1" t="s">
        <v>74</v>
      </c>
      <c r="E145" s="2">
        <v>18727</v>
      </c>
      <c r="F145" s="2">
        <f>E145+610</f>
        <v>19337</v>
      </c>
      <c r="G145" s="1" t="s">
        <v>6</v>
      </c>
    </row>
    <row r="146" spans="1:10" x14ac:dyDescent="0.25">
      <c r="A146" s="8" t="s">
        <v>73</v>
      </c>
      <c r="B146" s="8" t="s">
        <v>25</v>
      </c>
      <c r="C146" s="8" t="s">
        <v>6</v>
      </c>
      <c r="D146" s="8" t="s">
        <v>74</v>
      </c>
      <c r="E146" s="10">
        <v>18481</v>
      </c>
      <c r="F146" s="10">
        <f>E146+610</f>
        <v>19091</v>
      </c>
      <c r="G146" s="8" t="s">
        <v>6</v>
      </c>
      <c r="H146" s="9"/>
      <c r="I146" s="9"/>
      <c r="J146" s="9"/>
    </row>
    <row r="147" spans="1:10" x14ac:dyDescent="0.25">
      <c r="A147" s="1" t="s">
        <v>251</v>
      </c>
      <c r="B147" s="1" t="s">
        <v>209</v>
      </c>
      <c r="C147" s="1" t="s">
        <v>59</v>
      </c>
      <c r="D147" s="1" t="s">
        <v>6</v>
      </c>
      <c r="E147" s="1" t="s">
        <v>6</v>
      </c>
      <c r="F147" s="2"/>
      <c r="G147" s="1">
        <v>699.94</v>
      </c>
    </row>
    <row r="148" spans="1:10" x14ac:dyDescent="0.25">
      <c r="A148" s="1" t="s">
        <v>251</v>
      </c>
      <c r="B148" s="1" t="s">
        <v>210</v>
      </c>
      <c r="C148" s="1" t="s">
        <v>59</v>
      </c>
      <c r="D148" s="1" t="s">
        <v>6</v>
      </c>
      <c r="E148" s="1" t="s">
        <v>6</v>
      </c>
      <c r="F148" s="2"/>
      <c r="G148" s="1">
        <v>639.69000000000005</v>
      </c>
    </row>
    <row r="149" spans="1:10" x14ac:dyDescent="0.25">
      <c r="A149" s="1" t="s">
        <v>254</v>
      </c>
      <c r="B149" s="1" t="s">
        <v>23</v>
      </c>
      <c r="C149" s="1" t="s">
        <v>22</v>
      </c>
      <c r="D149" s="1" t="s">
        <v>6</v>
      </c>
      <c r="E149" s="2">
        <v>23000</v>
      </c>
      <c r="F149" s="2">
        <f>E149+610</f>
        <v>23610</v>
      </c>
      <c r="G149" s="1" t="s">
        <v>6</v>
      </c>
    </row>
    <row r="150" spans="1:10" x14ac:dyDescent="0.25">
      <c r="A150" s="1" t="s">
        <v>253</v>
      </c>
      <c r="B150" s="1" t="s">
        <v>209</v>
      </c>
      <c r="C150" s="1" t="s">
        <v>213</v>
      </c>
      <c r="D150" s="1" t="s">
        <v>6</v>
      </c>
      <c r="E150" s="1" t="s">
        <v>6</v>
      </c>
      <c r="F150" s="2"/>
      <c r="G150" s="1">
        <v>685.19</v>
      </c>
    </row>
    <row r="151" spans="1:10" x14ac:dyDescent="0.25">
      <c r="A151" s="1" t="s">
        <v>253</v>
      </c>
      <c r="B151" s="1" t="s">
        <v>215</v>
      </c>
      <c r="C151" s="1" t="s">
        <v>213</v>
      </c>
      <c r="D151" s="1" t="s">
        <v>6</v>
      </c>
      <c r="E151" s="1" t="s">
        <v>6</v>
      </c>
      <c r="F151" s="2"/>
      <c r="G151" s="1">
        <v>659.46</v>
      </c>
    </row>
    <row r="152" spans="1:10" x14ac:dyDescent="0.25">
      <c r="A152" s="1" t="s">
        <v>253</v>
      </c>
      <c r="B152" s="1" t="s">
        <v>220</v>
      </c>
      <c r="C152" s="1" t="s">
        <v>213</v>
      </c>
      <c r="D152" s="1" t="s">
        <v>6</v>
      </c>
      <c r="E152" s="1" t="s">
        <v>6</v>
      </c>
      <c r="F152" s="2"/>
      <c r="G152" s="1">
        <v>638.49</v>
      </c>
    </row>
    <row r="153" spans="1:10" x14ac:dyDescent="0.25">
      <c r="A153" s="8" t="s">
        <v>69</v>
      </c>
      <c r="B153" s="8" t="s">
        <v>70</v>
      </c>
      <c r="C153" s="8" t="s">
        <v>6</v>
      </c>
      <c r="D153" s="8" t="s">
        <v>6</v>
      </c>
      <c r="E153" s="10">
        <v>18851</v>
      </c>
      <c r="F153" s="10">
        <f>E153+610</f>
        <v>19461</v>
      </c>
      <c r="G153" s="8" t="s">
        <v>6</v>
      </c>
      <c r="H153" s="9"/>
      <c r="I153" s="9"/>
      <c r="J153" s="9"/>
    </row>
    <row r="154" spans="1:10" x14ac:dyDescent="0.25">
      <c r="A154" s="8" t="s">
        <v>69</v>
      </c>
      <c r="B154" s="1" t="s">
        <v>80</v>
      </c>
      <c r="C154" s="1" t="s">
        <v>6</v>
      </c>
      <c r="D154" s="1" t="s">
        <v>6</v>
      </c>
      <c r="E154" s="2">
        <v>16500</v>
      </c>
      <c r="F154" s="2">
        <f>E154+610</f>
        <v>17110</v>
      </c>
      <c r="G154" s="1" t="s">
        <v>6</v>
      </c>
    </row>
    <row r="155" spans="1:10" x14ac:dyDescent="0.25">
      <c r="A155" s="8" t="s">
        <v>24</v>
      </c>
      <c r="B155" s="8" t="s">
        <v>25</v>
      </c>
      <c r="C155" s="8" t="s">
        <v>6</v>
      </c>
      <c r="D155" s="8" t="s">
        <v>6</v>
      </c>
      <c r="E155" s="10">
        <v>25570</v>
      </c>
      <c r="F155" s="10">
        <f>E155+610</f>
        <v>26180</v>
      </c>
      <c r="G155" s="8" t="s">
        <v>6</v>
      </c>
      <c r="H155" s="9"/>
      <c r="I155" s="9"/>
      <c r="J155" s="9"/>
    </row>
    <row r="156" spans="1:10" x14ac:dyDescent="0.25">
      <c r="A156" s="1" t="s">
        <v>24</v>
      </c>
      <c r="B156" s="1" t="s">
        <v>66</v>
      </c>
      <c r="C156" s="1" t="s">
        <v>6</v>
      </c>
      <c r="D156" s="1" t="s">
        <v>7</v>
      </c>
      <c r="E156" s="2">
        <v>21970</v>
      </c>
      <c r="F156" s="2">
        <f>E156+610</f>
        <v>22580</v>
      </c>
      <c r="G156" s="1" t="s">
        <v>6</v>
      </c>
    </row>
    <row r="157" spans="1:10" x14ac:dyDescent="0.25">
      <c r="A157" s="1" t="s">
        <v>24</v>
      </c>
      <c r="B157" s="1" t="s">
        <v>198</v>
      </c>
      <c r="C157" s="1" t="s">
        <v>6</v>
      </c>
      <c r="D157" s="1" t="s">
        <v>7</v>
      </c>
      <c r="E157" s="2">
        <v>21709</v>
      </c>
      <c r="F157" s="2">
        <f>E157+610</f>
        <v>22319</v>
      </c>
      <c r="G157" s="1" t="s">
        <v>6</v>
      </c>
    </row>
    <row r="158" spans="1:10" x14ac:dyDescent="0.25">
      <c r="A158" s="8" t="s">
        <v>24</v>
      </c>
      <c r="B158" s="1" t="s">
        <v>200</v>
      </c>
      <c r="C158" s="1" t="s">
        <v>6</v>
      </c>
      <c r="D158" s="1" t="s">
        <v>7</v>
      </c>
      <c r="E158" s="2">
        <v>19664</v>
      </c>
      <c r="F158" s="2">
        <f>E158+610</f>
        <v>20274</v>
      </c>
      <c r="G158" s="1" t="s">
        <v>6</v>
      </c>
    </row>
    <row r="159" spans="1:10" x14ac:dyDescent="0.25">
      <c r="A159" s="8" t="s">
        <v>24</v>
      </c>
      <c r="B159" s="1" t="s">
        <v>201</v>
      </c>
      <c r="C159" s="1" t="s">
        <v>6</v>
      </c>
      <c r="D159" s="1" t="s">
        <v>74</v>
      </c>
      <c r="E159" s="2">
        <v>17440</v>
      </c>
      <c r="F159" s="2">
        <f>E159+610</f>
        <v>18050</v>
      </c>
      <c r="G159" s="1" t="s">
        <v>6</v>
      </c>
    </row>
    <row r="160" spans="1:10" x14ac:dyDescent="0.25">
      <c r="A160" s="8" t="s">
        <v>24</v>
      </c>
      <c r="B160" s="1" t="s">
        <v>125</v>
      </c>
      <c r="C160" s="1" t="s">
        <v>6</v>
      </c>
      <c r="D160" s="1" t="s">
        <v>120</v>
      </c>
      <c r="E160" s="2">
        <v>17466</v>
      </c>
      <c r="F160" s="2">
        <f>E160+610</f>
        <v>18076</v>
      </c>
      <c r="G160" s="1" t="s">
        <v>6</v>
      </c>
    </row>
    <row r="161" spans="1:10" x14ac:dyDescent="0.25">
      <c r="A161" s="8" t="s">
        <v>24</v>
      </c>
      <c r="B161" s="1" t="s">
        <v>202</v>
      </c>
      <c r="C161" s="1" t="s">
        <v>6</v>
      </c>
      <c r="D161" s="1" t="s">
        <v>7</v>
      </c>
      <c r="E161" s="2">
        <v>20042</v>
      </c>
      <c r="F161" s="2">
        <f>E161+610</f>
        <v>20652</v>
      </c>
      <c r="G161" s="1" t="s">
        <v>6</v>
      </c>
    </row>
    <row r="162" spans="1:10" x14ac:dyDescent="0.25">
      <c r="A162" s="8" t="s">
        <v>24</v>
      </c>
      <c r="B162" s="1" t="s">
        <v>169</v>
      </c>
      <c r="C162" s="1" t="s">
        <v>6</v>
      </c>
      <c r="D162" s="1" t="s">
        <v>7</v>
      </c>
      <c r="E162" s="2">
        <v>20608</v>
      </c>
      <c r="F162" s="2">
        <f>E162+610</f>
        <v>21218</v>
      </c>
      <c r="G162" s="1" t="s">
        <v>6</v>
      </c>
    </row>
    <row r="163" spans="1:10" x14ac:dyDescent="0.25">
      <c r="A163" s="8" t="s">
        <v>24</v>
      </c>
      <c r="B163" s="1" t="s">
        <v>171</v>
      </c>
      <c r="C163" s="1" t="s">
        <v>6</v>
      </c>
      <c r="D163" s="1" t="s">
        <v>74</v>
      </c>
      <c r="E163" s="2">
        <v>17906</v>
      </c>
      <c r="F163" s="2">
        <f>E163+610</f>
        <v>18516</v>
      </c>
      <c r="G163" s="1" t="s">
        <v>6</v>
      </c>
    </row>
    <row r="164" spans="1:10" x14ac:dyDescent="0.25">
      <c r="A164" s="8" t="s">
        <v>24</v>
      </c>
      <c r="B164" s="1" t="s">
        <v>26</v>
      </c>
      <c r="C164" s="1" t="s">
        <v>6</v>
      </c>
      <c r="D164" s="1" t="s">
        <v>6</v>
      </c>
      <c r="E164" s="2">
        <v>24875</v>
      </c>
      <c r="F164" s="2">
        <f>E164+610</f>
        <v>25485</v>
      </c>
      <c r="G164" s="1" t="s">
        <v>6</v>
      </c>
    </row>
    <row r="165" spans="1:10" x14ac:dyDescent="0.25">
      <c r="A165" s="8" t="s">
        <v>24</v>
      </c>
      <c r="B165" s="1" t="s">
        <v>27</v>
      </c>
      <c r="C165" s="1" t="s">
        <v>6</v>
      </c>
      <c r="D165" s="1" t="s">
        <v>6</v>
      </c>
      <c r="E165" s="2">
        <v>24605</v>
      </c>
      <c r="F165" s="2">
        <f>E165+610</f>
        <v>25215</v>
      </c>
      <c r="G165" s="1" t="s">
        <v>6</v>
      </c>
    </row>
    <row r="166" spans="1:10" x14ac:dyDescent="0.25">
      <c r="A166" s="8" t="s">
        <v>24</v>
      </c>
      <c r="B166" s="1" t="s">
        <v>28</v>
      </c>
      <c r="C166" s="1" t="s">
        <v>6</v>
      </c>
      <c r="D166" s="1" t="s">
        <v>6</v>
      </c>
      <c r="E166" s="2">
        <v>23672</v>
      </c>
      <c r="F166" s="2">
        <f>E166+610</f>
        <v>24282</v>
      </c>
      <c r="G166" s="1" t="s">
        <v>6</v>
      </c>
    </row>
    <row r="167" spans="1:10" x14ac:dyDescent="0.25">
      <c r="A167" s="8" t="s">
        <v>24</v>
      </c>
      <c r="B167" s="1" t="s">
        <v>29</v>
      </c>
      <c r="C167" s="1" t="s">
        <v>6</v>
      </c>
      <c r="D167" s="1" t="s">
        <v>6</v>
      </c>
      <c r="E167" s="2">
        <v>22253</v>
      </c>
      <c r="F167" s="2">
        <f>E167+610</f>
        <v>22863</v>
      </c>
      <c r="G167" s="1" t="s">
        <v>6</v>
      </c>
    </row>
    <row r="168" spans="1:10" x14ac:dyDescent="0.25">
      <c r="A168" s="1" t="s">
        <v>17</v>
      </c>
      <c r="B168" s="1" t="s">
        <v>18</v>
      </c>
      <c r="C168" s="1" t="s">
        <v>6</v>
      </c>
      <c r="D168" s="1" t="s">
        <v>6</v>
      </c>
      <c r="E168" s="2">
        <v>25000</v>
      </c>
      <c r="F168" s="2">
        <f>E168+610</f>
        <v>25610</v>
      </c>
      <c r="G168" s="1" t="s">
        <v>6</v>
      </c>
      <c r="J168" t="s">
        <v>246</v>
      </c>
    </row>
    <row r="169" spans="1:10" x14ac:dyDescent="0.25">
      <c r="A169" s="1" t="s">
        <v>17</v>
      </c>
      <c r="B169" s="1" t="s">
        <v>19</v>
      </c>
      <c r="C169" s="1" t="s">
        <v>6</v>
      </c>
      <c r="D169" s="1" t="s">
        <v>13</v>
      </c>
      <c r="E169" s="2">
        <v>23000</v>
      </c>
      <c r="F169" s="2">
        <f>E169+610</f>
        <v>23610</v>
      </c>
      <c r="G169" s="1" t="s">
        <v>6</v>
      </c>
    </row>
    <row r="170" spans="1:10" x14ac:dyDescent="0.25">
      <c r="A170" s="1" t="s">
        <v>17</v>
      </c>
      <c r="B170" s="1" t="s">
        <v>191</v>
      </c>
      <c r="C170" s="1" t="s">
        <v>6</v>
      </c>
      <c r="D170" s="1" t="s">
        <v>6</v>
      </c>
      <c r="E170" s="2">
        <v>17978</v>
      </c>
      <c r="F170" s="2">
        <f>E170+610</f>
        <v>18588</v>
      </c>
      <c r="G170" s="1" t="s">
        <v>6</v>
      </c>
    </row>
    <row r="171" spans="1:10" x14ac:dyDescent="0.25">
      <c r="A171" s="1" t="s">
        <v>231</v>
      </c>
      <c r="B171" s="1" t="s">
        <v>232</v>
      </c>
      <c r="C171" s="1" t="s">
        <v>6</v>
      </c>
      <c r="D171" s="1" t="s">
        <v>233</v>
      </c>
      <c r="E171" s="2">
        <v>17100</v>
      </c>
      <c r="F171" s="2">
        <f>E171+610</f>
        <v>17710</v>
      </c>
      <c r="G171" s="1" t="s">
        <v>6</v>
      </c>
      <c r="J171" s="7"/>
    </row>
    <row r="172" spans="1:10" x14ac:dyDescent="0.25">
      <c r="A172" s="1" t="s">
        <v>11</v>
      </c>
      <c r="B172" s="1" t="s">
        <v>12</v>
      </c>
      <c r="C172" s="1" t="s">
        <v>6</v>
      </c>
      <c r="D172" s="1" t="s">
        <v>13</v>
      </c>
      <c r="E172" s="2">
        <v>25000</v>
      </c>
      <c r="F172" s="2">
        <f>E172+610</f>
        <v>25610</v>
      </c>
      <c r="G172" s="1" t="s">
        <v>6</v>
      </c>
    </row>
    <row r="173" spans="1:10" x14ac:dyDescent="0.25">
      <c r="A173" s="1" t="s">
        <v>11</v>
      </c>
      <c r="B173" s="1" t="s">
        <v>14</v>
      </c>
      <c r="C173" s="1" t="s">
        <v>79</v>
      </c>
      <c r="D173" s="1" t="s">
        <v>13</v>
      </c>
      <c r="E173" s="2">
        <v>16500</v>
      </c>
      <c r="F173" s="2">
        <f>E173+610</f>
        <v>17110</v>
      </c>
      <c r="G173" s="1" t="s">
        <v>6</v>
      </c>
    </row>
    <row r="174" spans="1:10" x14ac:dyDescent="0.25">
      <c r="A174" s="1" t="s">
        <v>11</v>
      </c>
      <c r="B174" s="1" t="s">
        <v>8</v>
      </c>
      <c r="C174" s="1" t="s">
        <v>6</v>
      </c>
      <c r="D174" s="1" t="s">
        <v>7</v>
      </c>
      <c r="E174" s="2">
        <v>28150</v>
      </c>
      <c r="F174" s="2">
        <f>E174+610</f>
        <v>28760</v>
      </c>
      <c r="G174" s="1" t="s">
        <v>6</v>
      </c>
    </row>
    <row r="175" spans="1:10" x14ac:dyDescent="0.25">
      <c r="A175" s="1" t="s">
        <v>11</v>
      </c>
      <c r="B175" s="1" t="s">
        <v>10</v>
      </c>
      <c r="C175" s="1" t="s">
        <v>6</v>
      </c>
      <c r="D175" s="1" t="s">
        <v>7</v>
      </c>
      <c r="E175" s="2">
        <v>23361</v>
      </c>
      <c r="F175" s="2">
        <f>E175+610</f>
        <v>23971</v>
      </c>
      <c r="G175" s="1" t="s">
        <v>6</v>
      </c>
    </row>
    <row r="176" spans="1:10" x14ac:dyDescent="0.25">
      <c r="A176" s="1" t="s">
        <v>11</v>
      </c>
      <c r="B176" s="1" t="s">
        <v>14</v>
      </c>
      <c r="C176" s="1" t="s">
        <v>15</v>
      </c>
      <c r="D176" s="1" t="s">
        <v>13</v>
      </c>
      <c r="E176" s="2">
        <v>25000</v>
      </c>
      <c r="F176" s="2">
        <f>E176+610</f>
        <v>25610</v>
      </c>
      <c r="G176" s="1" t="s">
        <v>6</v>
      </c>
    </row>
    <row r="177" spans="1:10" x14ac:dyDescent="0.25">
      <c r="A177" s="1" t="s">
        <v>11</v>
      </c>
      <c r="B177" s="1" t="s">
        <v>14</v>
      </c>
      <c r="C177" s="1" t="s">
        <v>16</v>
      </c>
      <c r="D177" s="1" t="s">
        <v>13</v>
      </c>
      <c r="E177" s="2">
        <v>23000</v>
      </c>
      <c r="F177" s="2">
        <f>E177+610</f>
        <v>23610</v>
      </c>
      <c r="G177" s="1" t="s">
        <v>6</v>
      </c>
    </row>
    <row r="178" spans="1:10" x14ac:dyDescent="0.25">
      <c r="A178" s="1" t="s">
        <v>44</v>
      </c>
      <c r="B178" s="1" t="s">
        <v>45</v>
      </c>
      <c r="C178" s="1" t="s">
        <v>6</v>
      </c>
      <c r="D178" s="1" t="s">
        <v>46</v>
      </c>
      <c r="E178" s="2">
        <v>20008</v>
      </c>
      <c r="F178" s="2">
        <f>E178+610</f>
        <v>20618</v>
      </c>
      <c r="G178" s="1" t="s">
        <v>6</v>
      </c>
    </row>
    <row r="179" spans="1:10" x14ac:dyDescent="0.25">
      <c r="A179" s="1" t="s">
        <v>44</v>
      </c>
      <c r="B179" s="1" t="s">
        <v>203</v>
      </c>
      <c r="C179" s="1" t="s">
        <v>6</v>
      </c>
      <c r="D179" s="1" t="s">
        <v>46</v>
      </c>
      <c r="E179" s="2">
        <v>17565</v>
      </c>
      <c r="F179" s="2">
        <f>E179+610</f>
        <v>18175</v>
      </c>
      <c r="G179" s="1" t="s">
        <v>6</v>
      </c>
    </row>
    <row r="180" spans="1:10" x14ac:dyDescent="0.25">
      <c r="A180" s="1" t="s">
        <v>44</v>
      </c>
      <c r="B180" s="1" t="s">
        <v>63</v>
      </c>
      <c r="C180" s="1" t="s">
        <v>104</v>
      </c>
      <c r="D180" s="1" t="s">
        <v>46</v>
      </c>
      <c r="E180" s="2">
        <v>19228</v>
      </c>
      <c r="F180" s="2">
        <f>E180+610</f>
        <v>19838</v>
      </c>
      <c r="G180" s="1" t="s">
        <v>6</v>
      </c>
    </row>
    <row r="181" spans="1:10" x14ac:dyDescent="0.25">
      <c r="A181" s="1" t="s">
        <v>44</v>
      </c>
      <c r="B181" s="1" t="s">
        <v>63</v>
      </c>
      <c r="C181" s="1" t="s">
        <v>100</v>
      </c>
      <c r="D181" s="1" t="s">
        <v>46</v>
      </c>
      <c r="E181" s="2">
        <v>18832</v>
      </c>
      <c r="F181" s="2">
        <f>E181+610</f>
        <v>19442</v>
      </c>
      <c r="G181" s="1" t="s">
        <v>6</v>
      </c>
    </row>
    <row r="182" spans="1:10" x14ac:dyDescent="0.25">
      <c r="A182" s="1" t="s">
        <v>44</v>
      </c>
      <c r="B182" s="1" t="s">
        <v>63</v>
      </c>
      <c r="C182" s="1" t="s">
        <v>119</v>
      </c>
      <c r="D182" s="1" t="s">
        <v>46</v>
      </c>
      <c r="E182" s="2">
        <v>18652</v>
      </c>
      <c r="F182" s="2">
        <f>E182+610</f>
        <v>19262</v>
      </c>
      <c r="G182" s="1" t="s">
        <v>6</v>
      </c>
    </row>
    <row r="183" spans="1:10" x14ac:dyDescent="0.25">
      <c r="A183" s="1" t="s">
        <v>44</v>
      </c>
      <c r="B183" s="1" t="s">
        <v>204</v>
      </c>
      <c r="C183" s="1" t="s">
        <v>6</v>
      </c>
      <c r="D183" s="1" t="s">
        <v>46</v>
      </c>
      <c r="E183" s="2">
        <v>18074</v>
      </c>
      <c r="F183" s="2">
        <f>E183+610</f>
        <v>18684</v>
      </c>
      <c r="G183" s="1" t="s">
        <v>6</v>
      </c>
    </row>
    <row r="184" spans="1:10" x14ac:dyDescent="0.25">
      <c r="A184" s="1" t="s">
        <v>4</v>
      </c>
      <c r="B184" s="1" t="s">
        <v>5</v>
      </c>
      <c r="C184" s="1" t="s">
        <v>6</v>
      </c>
      <c r="D184" s="1" t="s">
        <v>7</v>
      </c>
      <c r="E184" s="2">
        <v>32475</v>
      </c>
      <c r="F184" s="2">
        <f>E184+610</f>
        <v>33085</v>
      </c>
      <c r="G184" s="1" t="s">
        <v>6</v>
      </c>
    </row>
    <row r="185" spans="1:10" x14ac:dyDescent="0.25">
      <c r="A185" s="1" t="s">
        <v>4</v>
      </c>
      <c r="B185" s="1" t="s">
        <v>9</v>
      </c>
      <c r="C185" s="1" t="s">
        <v>6</v>
      </c>
      <c r="D185" s="1" t="s">
        <v>7</v>
      </c>
      <c r="E185" s="2">
        <v>24549</v>
      </c>
      <c r="F185" s="2">
        <f>E185+610</f>
        <v>25159</v>
      </c>
      <c r="G185" s="1" t="s">
        <v>6</v>
      </c>
    </row>
    <row r="186" spans="1:10" x14ac:dyDescent="0.25">
      <c r="A186" s="1" t="s">
        <v>84</v>
      </c>
      <c r="B186" s="1" t="s">
        <v>85</v>
      </c>
      <c r="C186" s="1" t="s">
        <v>86</v>
      </c>
      <c r="D186" s="1" t="s">
        <v>6</v>
      </c>
      <c r="E186" s="3">
        <v>18454.810000000001</v>
      </c>
      <c r="F186" s="2">
        <f>E186+610</f>
        <v>19064.810000000001</v>
      </c>
      <c r="G186" s="1" t="s">
        <v>248</v>
      </c>
      <c r="J186" t="s">
        <v>249</v>
      </c>
    </row>
    <row r="187" spans="1:10" x14ac:dyDescent="0.25">
      <c r="A187" s="1" t="s">
        <v>84</v>
      </c>
      <c r="B187" s="1" t="s">
        <v>85</v>
      </c>
      <c r="C187" s="1" t="s">
        <v>88</v>
      </c>
      <c r="D187" s="1" t="s">
        <v>6</v>
      </c>
      <c r="E187" s="3">
        <v>16627.919999999998</v>
      </c>
      <c r="F187" s="2">
        <f>E187+610</f>
        <v>17237.919999999998</v>
      </c>
      <c r="G187" s="1" t="s">
        <v>89</v>
      </c>
    </row>
    <row r="188" spans="1:10" x14ac:dyDescent="0.25">
      <c r="A188" s="1" t="s">
        <v>84</v>
      </c>
      <c r="B188" s="1" t="s">
        <v>85</v>
      </c>
      <c r="C188" s="1" t="s">
        <v>90</v>
      </c>
      <c r="D188" s="1" t="s">
        <v>6</v>
      </c>
      <c r="E188" s="3">
        <v>16500</v>
      </c>
      <c r="F188" s="2">
        <f>E188+610</f>
        <v>17110</v>
      </c>
      <c r="G188" s="1" t="s">
        <v>91</v>
      </c>
    </row>
    <row r="189" spans="1:10" x14ac:dyDescent="0.25">
      <c r="A189" s="1" t="s">
        <v>84</v>
      </c>
      <c r="B189" s="1" t="s">
        <v>85</v>
      </c>
      <c r="C189" s="1" t="s">
        <v>92</v>
      </c>
      <c r="D189" s="1" t="s">
        <v>6</v>
      </c>
      <c r="E189" s="3">
        <v>16500</v>
      </c>
      <c r="F189" s="2">
        <f>E189+610</f>
        <v>17110</v>
      </c>
      <c r="G189" s="1" t="s">
        <v>91</v>
      </c>
    </row>
    <row r="190" spans="1:10" x14ac:dyDescent="0.25">
      <c r="A190" s="1" t="s">
        <v>84</v>
      </c>
      <c r="B190" s="1" t="s">
        <v>93</v>
      </c>
      <c r="C190" s="1" t="s">
        <v>6</v>
      </c>
      <c r="D190" s="1" t="s">
        <v>6</v>
      </c>
      <c r="E190" s="3">
        <v>18443.150000000001</v>
      </c>
      <c r="F190" s="2">
        <f>E190+610</f>
        <v>19053.150000000001</v>
      </c>
      <c r="G190" s="1" t="s">
        <v>94</v>
      </c>
    </row>
    <row r="191" spans="1:10" x14ac:dyDescent="0.25">
      <c r="A191" s="1" t="s">
        <v>84</v>
      </c>
      <c r="B191" s="1" t="s">
        <v>95</v>
      </c>
      <c r="C191" s="1" t="s">
        <v>6</v>
      </c>
      <c r="D191" s="1" t="s">
        <v>6</v>
      </c>
      <c r="E191" s="3">
        <v>19094.97</v>
      </c>
      <c r="F191" s="2">
        <f>E191+610</f>
        <v>19704.97</v>
      </c>
      <c r="G191" s="1" t="s">
        <v>96</v>
      </c>
    </row>
    <row r="192" spans="1:10" x14ac:dyDescent="0.25">
      <c r="A192" s="1" t="s">
        <v>84</v>
      </c>
      <c r="B192" s="1" t="s">
        <v>97</v>
      </c>
      <c r="C192" s="1" t="s">
        <v>98</v>
      </c>
      <c r="D192" s="1" t="s">
        <v>6</v>
      </c>
      <c r="E192" s="3">
        <v>18693.88</v>
      </c>
      <c r="F192" s="2">
        <f>E192+610</f>
        <v>19303.88</v>
      </c>
      <c r="G192" s="1" t="s">
        <v>99</v>
      </c>
    </row>
    <row r="193" spans="1:7" x14ac:dyDescent="0.25">
      <c r="A193" s="1" t="s">
        <v>84</v>
      </c>
      <c r="B193" s="1" t="s">
        <v>97</v>
      </c>
      <c r="C193" s="1" t="s">
        <v>100</v>
      </c>
      <c r="D193" s="1" t="s">
        <v>6</v>
      </c>
      <c r="E193" s="3">
        <v>18454.810000000001</v>
      </c>
      <c r="F193" s="2">
        <f>E193+610</f>
        <v>19064.810000000001</v>
      </c>
      <c r="G193" s="1" t="s">
        <v>87</v>
      </c>
    </row>
    <row r="194" spans="1:7" x14ac:dyDescent="0.25">
      <c r="A194" s="1" t="s">
        <v>84</v>
      </c>
      <c r="B194" s="1" t="s">
        <v>101</v>
      </c>
      <c r="C194" s="1" t="s">
        <v>6</v>
      </c>
      <c r="D194" s="1" t="s">
        <v>6</v>
      </c>
      <c r="E194" s="3">
        <v>18765.39</v>
      </c>
      <c r="F194" s="2">
        <f>E194+610</f>
        <v>19375.39</v>
      </c>
      <c r="G194" s="1" t="s">
        <v>102</v>
      </c>
    </row>
    <row r="195" spans="1:7" x14ac:dyDescent="0.25">
      <c r="A195" s="1" t="s">
        <v>84</v>
      </c>
      <c r="B195" s="1" t="s">
        <v>77</v>
      </c>
      <c r="C195" s="1" t="s">
        <v>6</v>
      </c>
      <c r="D195" s="1" t="s">
        <v>6</v>
      </c>
      <c r="E195" s="3">
        <v>18765.39</v>
      </c>
      <c r="F195" s="2">
        <f>E195+610</f>
        <v>19375.39</v>
      </c>
      <c r="G195" s="1" t="s">
        <v>102</v>
      </c>
    </row>
    <row r="196" spans="1:7" x14ac:dyDescent="0.25">
      <c r="A196" s="1" t="s">
        <v>84</v>
      </c>
      <c r="B196" s="1" t="s">
        <v>103</v>
      </c>
      <c r="C196" s="1" t="s">
        <v>104</v>
      </c>
      <c r="D196" s="1" t="s">
        <v>6</v>
      </c>
      <c r="E196" s="3">
        <v>20568.13</v>
      </c>
      <c r="F196" s="2">
        <f>E196+610</f>
        <v>21178.13</v>
      </c>
      <c r="G196" s="1" t="s">
        <v>105</v>
      </c>
    </row>
    <row r="197" spans="1:7" x14ac:dyDescent="0.25">
      <c r="A197" s="1" t="s">
        <v>84</v>
      </c>
      <c r="B197" s="1" t="s">
        <v>103</v>
      </c>
      <c r="C197" s="1" t="s">
        <v>100</v>
      </c>
      <c r="D197" s="1" t="s">
        <v>6</v>
      </c>
      <c r="E197" s="3">
        <v>19094.97</v>
      </c>
      <c r="F197" s="2">
        <f>E197+610</f>
        <v>19704.97</v>
      </c>
      <c r="G197" s="1" t="s">
        <v>96</v>
      </c>
    </row>
    <row r="198" spans="1:7" x14ac:dyDescent="0.25">
      <c r="A198" s="1" t="s">
        <v>84</v>
      </c>
      <c r="B198" s="1" t="s">
        <v>106</v>
      </c>
      <c r="C198" s="1" t="s">
        <v>6</v>
      </c>
      <c r="D198" s="1" t="s">
        <v>6</v>
      </c>
      <c r="E198" s="3">
        <v>19094.97</v>
      </c>
      <c r="F198" s="2">
        <f>E198+610</f>
        <v>19704.97</v>
      </c>
      <c r="G198" s="1" t="s">
        <v>96</v>
      </c>
    </row>
    <row r="199" spans="1:7" x14ac:dyDescent="0.25">
      <c r="A199" s="1" t="s">
        <v>84</v>
      </c>
      <c r="B199" s="1" t="s">
        <v>107</v>
      </c>
      <c r="C199" s="1" t="s">
        <v>6</v>
      </c>
      <c r="D199" s="1" t="s">
        <v>6</v>
      </c>
      <c r="E199" s="3">
        <v>19588.91</v>
      </c>
      <c r="F199" s="2">
        <f>E199+610</f>
        <v>20198.91</v>
      </c>
      <c r="G199" s="1" t="s">
        <v>108</v>
      </c>
    </row>
    <row r="200" spans="1:7" x14ac:dyDescent="0.25">
      <c r="A200" s="1" t="s">
        <v>84</v>
      </c>
      <c r="B200" s="1" t="s">
        <v>109</v>
      </c>
      <c r="C200" s="1" t="s">
        <v>6</v>
      </c>
      <c r="D200" s="1" t="s">
        <v>6</v>
      </c>
      <c r="E200" s="3">
        <v>18765.39</v>
      </c>
      <c r="F200" s="2">
        <f>E200+610</f>
        <v>19375.39</v>
      </c>
      <c r="G200" s="1" t="s">
        <v>102</v>
      </c>
    </row>
    <row r="201" spans="1:7" x14ac:dyDescent="0.25">
      <c r="A201" s="1" t="s">
        <v>30</v>
      </c>
      <c r="B201" s="1" t="s">
        <v>31</v>
      </c>
      <c r="C201" s="1" t="s">
        <v>32</v>
      </c>
      <c r="D201" s="1" t="s">
        <v>6</v>
      </c>
      <c r="E201" s="3">
        <v>22289.279999999999</v>
      </c>
      <c r="F201" s="2">
        <f>E201+610</f>
        <v>22899.279999999999</v>
      </c>
      <c r="G201" s="1" t="s">
        <v>6</v>
      </c>
    </row>
    <row r="202" spans="1:7" x14ac:dyDescent="0.25">
      <c r="A202" s="1" t="s">
        <v>30</v>
      </c>
      <c r="B202" s="1" t="s">
        <v>33</v>
      </c>
      <c r="C202" s="1" t="s">
        <v>32</v>
      </c>
      <c r="D202" s="1" t="s">
        <v>6</v>
      </c>
      <c r="E202" s="3">
        <v>21976.13</v>
      </c>
      <c r="F202" s="2">
        <f>E202+610</f>
        <v>22586.13</v>
      </c>
      <c r="G202" s="1" t="s">
        <v>6</v>
      </c>
    </row>
    <row r="203" spans="1:7" x14ac:dyDescent="0.25">
      <c r="A203" s="1" t="s">
        <v>30</v>
      </c>
      <c r="B203" s="1" t="s">
        <v>43</v>
      </c>
      <c r="C203" s="1" t="s">
        <v>32</v>
      </c>
      <c r="D203" s="1" t="s">
        <v>6</v>
      </c>
      <c r="E203" s="3">
        <v>20833.310000000001</v>
      </c>
      <c r="F203" s="2">
        <f>E203+610</f>
        <v>21443.31</v>
      </c>
      <c r="G203" s="1" t="s">
        <v>6</v>
      </c>
    </row>
    <row r="204" spans="1:7" x14ac:dyDescent="0.25">
      <c r="A204" s="1" t="s">
        <v>41</v>
      </c>
      <c r="B204" s="1" t="s">
        <v>42</v>
      </c>
      <c r="C204" s="1" t="s">
        <v>32</v>
      </c>
      <c r="D204" s="1" t="s">
        <v>6</v>
      </c>
      <c r="E204" s="3">
        <v>20956.23</v>
      </c>
      <c r="F204" s="2">
        <f>E204+610</f>
        <v>21566.23</v>
      </c>
      <c r="G204" s="1" t="s">
        <v>6</v>
      </c>
    </row>
    <row r="205" spans="1:7" x14ac:dyDescent="0.25">
      <c r="A205" s="1" t="s">
        <v>71</v>
      </c>
      <c r="B205" s="1" t="s">
        <v>72</v>
      </c>
      <c r="C205" s="1" t="s">
        <v>6</v>
      </c>
      <c r="D205" s="1" t="s">
        <v>6</v>
      </c>
      <c r="E205" s="2">
        <v>18553</v>
      </c>
      <c r="F205" s="2">
        <f>E205+610</f>
        <v>19163</v>
      </c>
      <c r="G205" s="1" t="s">
        <v>6</v>
      </c>
    </row>
    <row r="210" spans="2:2" ht="15.75" customHeight="1" x14ac:dyDescent="0.25">
      <c r="B210" s="1"/>
    </row>
    <row r="224" spans="2:2" ht="15.75" customHeight="1" x14ac:dyDescent="0.25">
      <c r="B224" s="1" t="s">
        <v>207</v>
      </c>
    </row>
  </sheetData>
  <sortState xmlns:xlrd2="http://schemas.microsoft.com/office/spreadsheetml/2017/richdata2" ref="A2:J224">
    <sortCondition ref="A2:A2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remove the square bracket and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2025-11-01T08:32:43Z</dcterms:created>
  <dcterms:modified xsi:type="dcterms:W3CDTF">2025-11-01T13:41:43Z</dcterms:modified>
</cp:coreProperties>
</file>